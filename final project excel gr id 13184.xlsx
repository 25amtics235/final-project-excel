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rishahiteshkumartandel/Desktop/"/>
    </mc:Choice>
  </mc:AlternateContent>
  <xr:revisionPtr revIDLastSave="0" documentId="8_{5E826DB7-860B-9645-A895-7D099CA34AF2}" xr6:coauthVersionLast="47" xr6:coauthVersionMax="47" xr10:uidLastSave="{00000000-0000-0000-0000-000000000000}"/>
  <bookViews>
    <workbookView xWindow="0" yWindow="680" windowWidth="34200" windowHeight="21460" activeTab="10" xr2:uid="{00000000-000D-0000-FFFF-FFFF00000000}"/>
  </bookViews>
  <sheets>
    <sheet name="Dashboard" sheetId="2" r:id="rId1"/>
    <sheet name="Report" sheetId="3" r:id="rId2"/>
    <sheet name="Raw Data" sheetId="4" r:id="rId3"/>
    <sheet name="Analysis" sheetId="5" r:id="rId4"/>
    <sheet name="Customers" sheetId="6" r:id="rId5"/>
    <sheet name="Filter" sheetId="7" r:id="rId6"/>
    <sheet name="Pivots" sheetId="8" r:id="rId7"/>
    <sheet name="Regression Output" sheetId="9" r:id="rId8"/>
    <sheet name="Scenario Summary" sheetId="10" r:id="rId9"/>
    <sheet name="Visualizations" sheetId="11" r:id="rId10"/>
    <sheet name="Calc" sheetId="12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2" l="1"/>
  <c r="B14" i="12"/>
  <c r="B13" i="12"/>
  <c r="B12" i="12"/>
  <c r="B11" i="12"/>
  <c r="B10" i="12"/>
  <c r="B15" i="10"/>
  <c r="E8" i="10"/>
  <c r="D8" i="10"/>
  <c r="C8" i="10"/>
  <c r="B8" i="10"/>
  <c r="E7" i="10"/>
  <c r="D7" i="10"/>
  <c r="C7" i="10"/>
  <c r="B7" i="10"/>
  <c r="E6" i="10"/>
  <c r="D6" i="10"/>
  <c r="C6" i="10"/>
  <c r="B6" i="10"/>
  <c r="J53" i="6"/>
  <c r="I53" i="6"/>
  <c r="H53" i="6"/>
  <c r="D53" i="6"/>
  <c r="E53" i="6" s="1"/>
  <c r="C53" i="6"/>
  <c r="B53" i="6"/>
  <c r="H52" i="6"/>
  <c r="I52" i="6" s="1"/>
  <c r="D52" i="6"/>
  <c r="C52" i="6"/>
  <c r="B52" i="6"/>
  <c r="H51" i="6"/>
  <c r="I51" i="6" s="1"/>
  <c r="D51" i="6"/>
  <c r="C51" i="6"/>
  <c r="B51" i="6"/>
  <c r="H50" i="6"/>
  <c r="D50" i="6"/>
  <c r="C50" i="6"/>
  <c r="B50" i="6"/>
  <c r="H49" i="6"/>
  <c r="I49" i="6" s="1"/>
  <c r="D49" i="6"/>
  <c r="C49" i="6"/>
  <c r="B49" i="6"/>
  <c r="H48" i="6"/>
  <c r="I48" i="6" s="1"/>
  <c r="D48" i="6"/>
  <c r="C48" i="6"/>
  <c r="B48" i="6"/>
  <c r="H47" i="6"/>
  <c r="I47" i="6" s="1"/>
  <c r="D47" i="6"/>
  <c r="C47" i="6"/>
  <c r="B47" i="6"/>
  <c r="H46" i="6"/>
  <c r="I46" i="6" s="1"/>
  <c r="D46" i="6"/>
  <c r="C46" i="6"/>
  <c r="B46" i="6"/>
  <c r="H45" i="6"/>
  <c r="I45" i="6" s="1"/>
  <c r="D45" i="6"/>
  <c r="C45" i="6"/>
  <c r="B45" i="6"/>
  <c r="H44" i="6"/>
  <c r="D44" i="6"/>
  <c r="C44" i="6"/>
  <c r="B44" i="6"/>
  <c r="H43" i="6"/>
  <c r="D43" i="6"/>
  <c r="C43" i="6"/>
  <c r="B43" i="6"/>
  <c r="H42" i="6"/>
  <c r="I42" i="6" s="1"/>
  <c r="D42" i="6"/>
  <c r="C42" i="6"/>
  <c r="B42" i="6"/>
  <c r="H41" i="6"/>
  <c r="I41" i="6" s="1"/>
  <c r="D41" i="6"/>
  <c r="C41" i="6"/>
  <c r="B41" i="6"/>
  <c r="H40" i="6"/>
  <c r="D40" i="6"/>
  <c r="C40" i="6"/>
  <c r="B40" i="6"/>
  <c r="H39" i="6"/>
  <c r="I39" i="6" s="1"/>
  <c r="D39" i="6"/>
  <c r="C39" i="6"/>
  <c r="B39" i="6"/>
  <c r="H38" i="6"/>
  <c r="D38" i="6"/>
  <c r="C38" i="6"/>
  <c r="B38" i="6"/>
  <c r="H37" i="6"/>
  <c r="I37" i="6" s="1"/>
  <c r="D37" i="6"/>
  <c r="C37" i="6"/>
  <c r="B37" i="6"/>
  <c r="H36" i="6"/>
  <c r="I36" i="6" s="1"/>
  <c r="D36" i="6"/>
  <c r="C36" i="6"/>
  <c r="B36" i="6"/>
  <c r="H35" i="6"/>
  <c r="D35" i="6"/>
  <c r="C35" i="6"/>
  <c r="B35" i="6"/>
  <c r="H34" i="6"/>
  <c r="I34" i="6" s="1"/>
  <c r="D34" i="6"/>
  <c r="C34" i="6"/>
  <c r="B34" i="6"/>
  <c r="H33" i="6"/>
  <c r="D33" i="6"/>
  <c r="C33" i="6"/>
  <c r="B33" i="6"/>
  <c r="H32" i="6"/>
  <c r="D32" i="6"/>
  <c r="C32" i="6"/>
  <c r="B32" i="6"/>
  <c r="H31" i="6"/>
  <c r="I31" i="6" s="1"/>
  <c r="D31" i="6"/>
  <c r="C31" i="6"/>
  <c r="B31" i="6"/>
  <c r="H30" i="6"/>
  <c r="D30" i="6"/>
  <c r="C30" i="6"/>
  <c r="B30" i="6"/>
  <c r="H29" i="6"/>
  <c r="I29" i="6" s="1"/>
  <c r="D29" i="6"/>
  <c r="C29" i="6"/>
  <c r="B29" i="6"/>
  <c r="H28" i="6"/>
  <c r="D28" i="6"/>
  <c r="C28" i="6"/>
  <c r="B28" i="6"/>
  <c r="H27" i="6"/>
  <c r="D27" i="6"/>
  <c r="C27" i="6"/>
  <c r="B27" i="6"/>
  <c r="H26" i="6"/>
  <c r="D26" i="6"/>
  <c r="C26" i="6"/>
  <c r="B26" i="6"/>
  <c r="H25" i="6"/>
  <c r="I25" i="6" s="1"/>
  <c r="D25" i="6"/>
  <c r="C25" i="6"/>
  <c r="B25" i="6"/>
  <c r="H24" i="6"/>
  <c r="D24" i="6"/>
  <c r="C24" i="6"/>
  <c r="B24" i="6"/>
  <c r="H23" i="6"/>
  <c r="I23" i="6" s="1"/>
  <c r="D23" i="6"/>
  <c r="C23" i="6"/>
  <c r="B23" i="6"/>
  <c r="H22" i="6"/>
  <c r="D22" i="6"/>
  <c r="C22" i="6"/>
  <c r="B22" i="6"/>
  <c r="H21" i="6"/>
  <c r="D21" i="6"/>
  <c r="C21" i="6"/>
  <c r="B21" i="6"/>
  <c r="H20" i="6"/>
  <c r="I20" i="6" s="1"/>
  <c r="D20" i="6"/>
  <c r="C20" i="6"/>
  <c r="B20" i="6"/>
  <c r="H19" i="6"/>
  <c r="I19" i="6" s="1"/>
  <c r="D19" i="6"/>
  <c r="C19" i="6"/>
  <c r="B19" i="6"/>
  <c r="H18" i="6"/>
  <c r="I18" i="6" s="1"/>
  <c r="D18" i="6"/>
  <c r="C18" i="6"/>
  <c r="B18" i="6"/>
  <c r="H17" i="6"/>
  <c r="I17" i="6" s="1"/>
  <c r="D17" i="6"/>
  <c r="C17" i="6"/>
  <c r="B17" i="6"/>
  <c r="H16" i="6"/>
  <c r="D16" i="6"/>
  <c r="C16" i="6"/>
  <c r="B16" i="6"/>
  <c r="H15" i="6"/>
  <c r="D15" i="6"/>
  <c r="C15" i="6"/>
  <c r="B15" i="6"/>
  <c r="H14" i="6"/>
  <c r="D14" i="6"/>
  <c r="C14" i="6"/>
  <c r="B14" i="6"/>
  <c r="H13" i="6"/>
  <c r="I13" i="6" s="1"/>
  <c r="D13" i="6"/>
  <c r="C13" i="6"/>
  <c r="B13" i="6"/>
  <c r="H12" i="6"/>
  <c r="D12" i="6"/>
  <c r="C12" i="6"/>
  <c r="B12" i="6"/>
  <c r="H11" i="6"/>
  <c r="I11" i="6" s="1"/>
  <c r="D11" i="6"/>
  <c r="C11" i="6"/>
  <c r="B11" i="6"/>
  <c r="H10" i="6"/>
  <c r="I10" i="6" s="1"/>
  <c r="D10" i="6"/>
  <c r="C10" i="6"/>
  <c r="B10" i="6"/>
  <c r="H9" i="6"/>
  <c r="I9" i="6" s="1"/>
  <c r="D9" i="6"/>
  <c r="C9" i="6"/>
  <c r="B9" i="6"/>
  <c r="H8" i="6"/>
  <c r="I8" i="6" s="1"/>
  <c r="D8" i="6"/>
  <c r="C8" i="6"/>
  <c r="B8" i="6"/>
  <c r="H7" i="6"/>
  <c r="I7" i="6" s="1"/>
  <c r="D7" i="6"/>
  <c r="C7" i="6"/>
  <c r="B7" i="6"/>
  <c r="H6" i="6"/>
  <c r="I6" i="6" s="1"/>
  <c r="D6" i="6"/>
  <c r="C6" i="6"/>
  <c r="B6" i="6"/>
  <c r="H5" i="6"/>
  <c r="I5" i="6" s="1"/>
  <c r="D5" i="6"/>
  <c r="C5" i="6"/>
  <c r="B5" i="6"/>
  <c r="H4" i="6"/>
  <c r="I4" i="6" s="1"/>
  <c r="D4" i="6"/>
  <c r="C4" i="6"/>
  <c r="B4" i="6"/>
  <c r="C91" i="5"/>
  <c r="A90" i="5"/>
  <c r="C85" i="5"/>
  <c r="B85" i="5"/>
  <c r="E85" i="5" s="1"/>
  <c r="C84" i="5"/>
  <c r="B84" i="5"/>
  <c r="E84" i="5" s="1"/>
  <c r="C83" i="5"/>
  <c r="B83" i="5"/>
  <c r="C77" i="5"/>
  <c r="B77" i="5"/>
  <c r="E77" i="5" s="1"/>
  <c r="C76" i="5"/>
  <c r="B76" i="5"/>
  <c r="E76" i="5" s="1"/>
  <c r="C75" i="5"/>
  <c r="B75" i="5"/>
  <c r="E75" i="5" s="1"/>
  <c r="C74" i="5"/>
  <c r="B74" i="5"/>
  <c r="C69" i="5"/>
  <c r="B69" i="5"/>
  <c r="E69" i="5" s="1"/>
  <c r="C68" i="5"/>
  <c r="B68" i="5"/>
  <c r="E68" i="5" s="1"/>
  <c r="C67" i="5"/>
  <c r="B67" i="5"/>
  <c r="C60" i="5"/>
  <c r="B60" i="5"/>
  <c r="E60" i="5" s="1"/>
  <c r="C59" i="5"/>
  <c r="B59" i="5"/>
  <c r="E59" i="5" s="1"/>
  <c r="C58" i="5"/>
  <c r="B58" i="5"/>
  <c r="E58" i="5" s="1"/>
  <c r="C57" i="5"/>
  <c r="B57" i="5"/>
  <c r="E57" i="5" s="1"/>
  <c r="C56" i="5"/>
  <c r="B56" i="5"/>
  <c r="B50" i="5"/>
  <c r="E44" i="5"/>
  <c r="D44" i="5"/>
  <c r="C44" i="5"/>
  <c r="B44" i="5"/>
  <c r="A66" i="12" s="1"/>
  <c r="E43" i="5"/>
  <c r="D43" i="5"/>
  <c r="C43" i="5"/>
  <c r="B43" i="5"/>
  <c r="A65" i="12" s="1"/>
  <c r="E42" i="5"/>
  <c r="D42" i="5"/>
  <c r="C42" i="5"/>
  <c r="B42" i="5"/>
  <c r="A64" i="12" s="1"/>
  <c r="E41" i="5"/>
  <c r="D41" i="5"/>
  <c r="C41" i="5"/>
  <c r="B41" i="5"/>
  <c r="A63" i="12" s="1"/>
  <c r="E40" i="5"/>
  <c r="D40" i="5"/>
  <c r="C40" i="5"/>
  <c r="B40" i="5"/>
  <c r="A62" i="12" s="1"/>
  <c r="E39" i="5"/>
  <c r="D39" i="5"/>
  <c r="C39" i="5"/>
  <c r="B39" i="5"/>
  <c r="A61" i="12" s="1"/>
  <c r="E38" i="5"/>
  <c r="D38" i="5"/>
  <c r="C38" i="5"/>
  <c r="B38" i="5"/>
  <c r="A60" i="12" s="1"/>
  <c r="E37" i="5"/>
  <c r="D37" i="5"/>
  <c r="C37" i="5"/>
  <c r="B37" i="5"/>
  <c r="A59" i="12" s="1"/>
  <c r="E36" i="5"/>
  <c r="D36" i="5"/>
  <c r="C36" i="5"/>
  <c r="B36" i="5"/>
  <c r="A58" i="12" s="1"/>
  <c r="E35" i="5"/>
  <c r="D35" i="5"/>
  <c r="C35" i="5"/>
  <c r="B35" i="5"/>
  <c r="A57" i="12" s="1"/>
  <c r="B28" i="5"/>
  <c r="B26" i="5"/>
  <c r="B25" i="5"/>
  <c r="B24" i="5"/>
  <c r="B20" i="5"/>
  <c r="B19" i="5"/>
  <c r="B9" i="5"/>
  <c r="B11" i="5" s="1"/>
  <c r="B8" i="5"/>
  <c r="B7" i="5"/>
  <c r="B6" i="5"/>
  <c r="B5" i="5"/>
  <c r="B4" i="5"/>
  <c r="Z251" i="4"/>
  <c r="Y251" i="4"/>
  <c r="X251" i="4"/>
  <c r="W251" i="4"/>
  <c r="V251" i="4"/>
  <c r="U251" i="4"/>
  <c r="T251" i="4"/>
  <c r="S251" i="4"/>
  <c r="R251" i="4"/>
  <c r="Q251" i="4"/>
  <c r="P251" i="4"/>
  <c r="O251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Z218" i="4"/>
  <c r="X218" i="4"/>
  <c r="W218" i="4"/>
  <c r="V218" i="4"/>
  <c r="U218" i="4"/>
  <c r="T218" i="4"/>
  <c r="S218" i="4"/>
  <c r="R218" i="4"/>
  <c r="Q218" i="4"/>
  <c r="P218" i="4"/>
  <c r="O218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Z203" i="4"/>
  <c r="X203" i="4"/>
  <c r="W203" i="4"/>
  <c r="V203" i="4"/>
  <c r="U203" i="4"/>
  <c r="T203" i="4"/>
  <c r="S203" i="4"/>
  <c r="R203" i="4"/>
  <c r="Q203" i="4"/>
  <c r="P203" i="4"/>
  <c r="O203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Z158" i="4"/>
  <c r="X158" i="4"/>
  <c r="W158" i="4"/>
  <c r="V158" i="4"/>
  <c r="U158" i="4"/>
  <c r="T158" i="4"/>
  <c r="S158" i="4"/>
  <c r="R158" i="4"/>
  <c r="Q158" i="4"/>
  <c r="P158" i="4"/>
  <c r="O158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Z152" i="4"/>
  <c r="X152" i="4"/>
  <c r="W152" i="4"/>
  <c r="V152" i="4"/>
  <c r="U152" i="4"/>
  <c r="T152" i="4"/>
  <c r="S152" i="4"/>
  <c r="R152" i="4"/>
  <c r="Q152" i="4"/>
  <c r="P152" i="4"/>
  <c r="O152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Z149" i="4"/>
  <c r="X149" i="4"/>
  <c r="W149" i="4"/>
  <c r="V149" i="4"/>
  <c r="U149" i="4"/>
  <c r="T149" i="4"/>
  <c r="S149" i="4"/>
  <c r="R149" i="4"/>
  <c r="Q149" i="4"/>
  <c r="P149" i="4"/>
  <c r="O149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Z128" i="4"/>
  <c r="X128" i="4"/>
  <c r="W128" i="4"/>
  <c r="V128" i="4"/>
  <c r="U128" i="4"/>
  <c r="T128" i="4"/>
  <c r="S128" i="4"/>
  <c r="R128" i="4"/>
  <c r="Q128" i="4"/>
  <c r="P128" i="4"/>
  <c r="O128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Z99" i="4"/>
  <c r="Y99" i="4"/>
  <c r="X99" i="4"/>
  <c r="W99" i="4"/>
  <c r="V99" i="4"/>
  <c r="U99" i="4"/>
  <c r="T99" i="4"/>
  <c r="S99" i="4"/>
  <c r="R99" i="4"/>
  <c r="Q99" i="4"/>
  <c r="P99" i="4"/>
  <c r="O99" i="4"/>
  <c r="Z98" i="4"/>
  <c r="Y98" i="4"/>
  <c r="X98" i="4"/>
  <c r="W98" i="4"/>
  <c r="V98" i="4"/>
  <c r="U98" i="4"/>
  <c r="T98" i="4"/>
  <c r="S98" i="4"/>
  <c r="R98" i="4"/>
  <c r="Q98" i="4"/>
  <c r="P98" i="4"/>
  <c r="O98" i="4"/>
  <c r="Z97" i="4"/>
  <c r="Y97" i="4"/>
  <c r="X97" i="4"/>
  <c r="W97" i="4"/>
  <c r="V97" i="4"/>
  <c r="U97" i="4"/>
  <c r="T97" i="4"/>
  <c r="S97" i="4"/>
  <c r="R97" i="4"/>
  <c r="Q97" i="4"/>
  <c r="P97" i="4"/>
  <c r="O97" i="4"/>
  <c r="Z96" i="4"/>
  <c r="Y96" i="4"/>
  <c r="X96" i="4"/>
  <c r="W96" i="4"/>
  <c r="V96" i="4"/>
  <c r="U96" i="4"/>
  <c r="T96" i="4"/>
  <c r="S96" i="4"/>
  <c r="R96" i="4"/>
  <c r="Q96" i="4"/>
  <c r="P96" i="4"/>
  <c r="O96" i="4"/>
  <c r="Z95" i="4"/>
  <c r="Y95" i="4"/>
  <c r="X95" i="4"/>
  <c r="W95" i="4"/>
  <c r="V95" i="4"/>
  <c r="U95" i="4"/>
  <c r="T95" i="4"/>
  <c r="S95" i="4"/>
  <c r="R95" i="4"/>
  <c r="Q95" i="4"/>
  <c r="P95" i="4"/>
  <c r="O95" i="4"/>
  <c r="Z94" i="4"/>
  <c r="Y94" i="4"/>
  <c r="X94" i="4"/>
  <c r="W94" i="4"/>
  <c r="V94" i="4"/>
  <c r="U94" i="4"/>
  <c r="T94" i="4"/>
  <c r="S94" i="4"/>
  <c r="R94" i="4"/>
  <c r="Q94" i="4"/>
  <c r="P94" i="4"/>
  <c r="O94" i="4"/>
  <c r="Z93" i="4"/>
  <c r="Y93" i="4"/>
  <c r="X93" i="4"/>
  <c r="W93" i="4"/>
  <c r="V93" i="4"/>
  <c r="U93" i="4"/>
  <c r="T93" i="4"/>
  <c r="S93" i="4"/>
  <c r="R93" i="4"/>
  <c r="Q93" i="4"/>
  <c r="P93" i="4"/>
  <c r="O93" i="4"/>
  <c r="Z92" i="4"/>
  <c r="Y92" i="4"/>
  <c r="X92" i="4"/>
  <c r="W92" i="4"/>
  <c r="V92" i="4"/>
  <c r="U92" i="4"/>
  <c r="T92" i="4"/>
  <c r="S92" i="4"/>
  <c r="R92" i="4"/>
  <c r="Q92" i="4"/>
  <c r="P92" i="4"/>
  <c r="O92" i="4"/>
  <c r="Z91" i="4"/>
  <c r="Y91" i="4"/>
  <c r="X91" i="4"/>
  <c r="W91" i="4"/>
  <c r="V91" i="4"/>
  <c r="U91" i="4"/>
  <c r="T91" i="4"/>
  <c r="S91" i="4"/>
  <c r="R91" i="4"/>
  <c r="Q91" i="4"/>
  <c r="P91" i="4"/>
  <c r="O91" i="4"/>
  <c r="Z90" i="4"/>
  <c r="Y90" i="4"/>
  <c r="X90" i="4"/>
  <c r="W90" i="4"/>
  <c r="V90" i="4"/>
  <c r="U90" i="4"/>
  <c r="T90" i="4"/>
  <c r="S90" i="4"/>
  <c r="R90" i="4"/>
  <c r="Q90" i="4"/>
  <c r="P90" i="4"/>
  <c r="O90" i="4"/>
  <c r="Z89" i="4"/>
  <c r="Y89" i="4"/>
  <c r="X89" i="4"/>
  <c r="W89" i="4"/>
  <c r="V89" i="4"/>
  <c r="U89" i="4"/>
  <c r="T89" i="4"/>
  <c r="S89" i="4"/>
  <c r="R89" i="4"/>
  <c r="Q89" i="4"/>
  <c r="P89" i="4"/>
  <c r="O89" i="4"/>
  <c r="Z88" i="4"/>
  <c r="Y88" i="4"/>
  <c r="X88" i="4"/>
  <c r="W88" i="4"/>
  <c r="V88" i="4"/>
  <c r="U88" i="4"/>
  <c r="T88" i="4"/>
  <c r="S88" i="4"/>
  <c r="R88" i="4"/>
  <c r="Q88" i="4"/>
  <c r="P88" i="4"/>
  <c r="O88" i="4"/>
  <c r="Z87" i="4"/>
  <c r="Y87" i="4"/>
  <c r="X87" i="4"/>
  <c r="W87" i="4"/>
  <c r="V87" i="4"/>
  <c r="U87" i="4"/>
  <c r="T87" i="4"/>
  <c r="S87" i="4"/>
  <c r="R87" i="4"/>
  <c r="Q87" i="4"/>
  <c r="P87" i="4"/>
  <c r="O87" i="4"/>
  <c r="Z86" i="4"/>
  <c r="Y86" i="4"/>
  <c r="X86" i="4"/>
  <c r="W86" i="4"/>
  <c r="V86" i="4"/>
  <c r="U86" i="4"/>
  <c r="T86" i="4"/>
  <c r="S86" i="4"/>
  <c r="R86" i="4"/>
  <c r="Q86" i="4"/>
  <c r="P86" i="4"/>
  <c r="O86" i="4"/>
  <c r="Z85" i="4"/>
  <c r="Y85" i="4"/>
  <c r="X85" i="4"/>
  <c r="W85" i="4"/>
  <c r="V85" i="4"/>
  <c r="U85" i="4"/>
  <c r="T85" i="4"/>
  <c r="S85" i="4"/>
  <c r="R85" i="4"/>
  <c r="Q85" i="4"/>
  <c r="P85" i="4"/>
  <c r="O85" i="4"/>
  <c r="Z84" i="4"/>
  <c r="Y84" i="4"/>
  <c r="X84" i="4"/>
  <c r="W84" i="4"/>
  <c r="V84" i="4"/>
  <c r="U84" i="4"/>
  <c r="T84" i="4"/>
  <c r="S84" i="4"/>
  <c r="R84" i="4"/>
  <c r="Q84" i="4"/>
  <c r="P84" i="4"/>
  <c r="O84" i="4"/>
  <c r="Z83" i="4"/>
  <c r="Y83" i="4"/>
  <c r="X83" i="4"/>
  <c r="W83" i="4"/>
  <c r="V83" i="4"/>
  <c r="U83" i="4"/>
  <c r="T83" i="4"/>
  <c r="S83" i="4"/>
  <c r="R83" i="4"/>
  <c r="Q83" i="4"/>
  <c r="P83" i="4"/>
  <c r="O83" i="4"/>
  <c r="Z82" i="4"/>
  <c r="Y82" i="4"/>
  <c r="X82" i="4"/>
  <c r="W82" i="4"/>
  <c r="V82" i="4"/>
  <c r="U82" i="4"/>
  <c r="T82" i="4"/>
  <c r="S82" i="4"/>
  <c r="R82" i="4"/>
  <c r="Q82" i="4"/>
  <c r="P82" i="4"/>
  <c r="O82" i="4"/>
  <c r="Z81" i="4"/>
  <c r="Y81" i="4"/>
  <c r="X81" i="4"/>
  <c r="W81" i="4"/>
  <c r="V81" i="4"/>
  <c r="U81" i="4"/>
  <c r="T81" i="4"/>
  <c r="S81" i="4"/>
  <c r="R81" i="4"/>
  <c r="Q81" i="4"/>
  <c r="P81" i="4"/>
  <c r="O81" i="4"/>
  <c r="Z80" i="4"/>
  <c r="Y80" i="4"/>
  <c r="X80" i="4"/>
  <c r="W80" i="4"/>
  <c r="V80" i="4"/>
  <c r="U80" i="4"/>
  <c r="T80" i="4"/>
  <c r="S80" i="4"/>
  <c r="R80" i="4"/>
  <c r="Q80" i="4"/>
  <c r="P80" i="4"/>
  <c r="O80" i="4"/>
  <c r="Z79" i="4"/>
  <c r="Y79" i="4"/>
  <c r="X79" i="4"/>
  <c r="W79" i="4"/>
  <c r="V79" i="4"/>
  <c r="U79" i="4"/>
  <c r="T79" i="4"/>
  <c r="S79" i="4"/>
  <c r="R79" i="4"/>
  <c r="Q79" i="4"/>
  <c r="P79" i="4"/>
  <c r="O79" i="4"/>
  <c r="Z78" i="4"/>
  <c r="Y78" i="4"/>
  <c r="X78" i="4"/>
  <c r="W78" i="4"/>
  <c r="V78" i="4"/>
  <c r="U78" i="4"/>
  <c r="T78" i="4"/>
  <c r="S78" i="4"/>
  <c r="R78" i="4"/>
  <c r="Q78" i="4"/>
  <c r="P78" i="4"/>
  <c r="O78" i="4"/>
  <c r="Z77" i="4"/>
  <c r="Y77" i="4"/>
  <c r="X77" i="4"/>
  <c r="W77" i="4"/>
  <c r="V77" i="4"/>
  <c r="U77" i="4"/>
  <c r="T77" i="4"/>
  <c r="S77" i="4"/>
  <c r="R77" i="4"/>
  <c r="Q77" i="4"/>
  <c r="P77" i="4"/>
  <c r="O77" i="4"/>
  <c r="Z76" i="4"/>
  <c r="Y76" i="4"/>
  <c r="X76" i="4"/>
  <c r="W76" i="4"/>
  <c r="V76" i="4"/>
  <c r="U76" i="4"/>
  <c r="T76" i="4"/>
  <c r="S76" i="4"/>
  <c r="R76" i="4"/>
  <c r="Q76" i="4"/>
  <c r="P76" i="4"/>
  <c r="O76" i="4"/>
  <c r="Z75" i="4"/>
  <c r="Y75" i="4"/>
  <c r="X75" i="4"/>
  <c r="W75" i="4"/>
  <c r="V75" i="4"/>
  <c r="U75" i="4"/>
  <c r="T75" i="4"/>
  <c r="S75" i="4"/>
  <c r="R75" i="4"/>
  <c r="Q75" i="4"/>
  <c r="P75" i="4"/>
  <c r="O75" i="4"/>
  <c r="Z74" i="4"/>
  <c r="Y74" i="4"/>
  <c r="X74" i="4"/>
  <c r="W74" i="4"/>
  <c r="V74" i="4"/>
  <c r="U74" i="4"/>
  <c r="T74" i="4"/>
  <c r="S74" i="4"/>
  <c r="R74" i="4"/>
  <c r="Q74" i="4"/>
  <c r="P74" i="4"/>
  <c r="O74" i="4"/>
  <c r="Z73" i="4"/>
  <c r="Y73" i="4"/>
  <c r="X73" i="4"/>
  <c r="W73" i="4"/>
  <c r="V73" i="4"/>
  <c r="U73" i="4"/>
  <c r="T73" i="4"/>
  <c r="S73" i="4"/>
  <c r="R73" i="4"/>
  <c r="Q73" i="4"/>
  <c r="P73" i="4"/>
  <c r="O73" i="4"/>
  <c r="Z72" i="4"/>
  <c r="Y72" i="4"/>
  <c r="X72" i="4"/>
  <c r="W72" i="4"/>
  <c r="V72" i="4"/>
  <c r="U72" i="4"/>
  <c r="T72" i="4"/>
  <c r="S72" i="4"/>
  <c r="R72" i="4"/>
  <c r="Q72" i="4"/>
  <c r="P72" i="4"/>
  <c r="O72" i="4"/>
  <c r="Z71" i="4"/>
  <c r="Y71" i="4"/>
  <c r="X71" i="4"/>
  <c r="W71" i="4"/>
  <c r="V71" i="4"/>
  <c r="U71" i="4"/>
  <c r="T71" i="4"/>
  <c r="S71" i="4"/>
  <c r="R71" i="4"/>
  <c r="Q71" i="4"/>
  <c r="P71" i="4"/>
  <c r="O71" i="4"/>
  <c r="Z70" i="4"/>
  <c r="Y70" i="4"/>
  <c r="X70" i="4"/>
  <c r="W70" i="4"/>
  <c r="V70" i="4"/>
  <c r="U70" i="4"/>
  <c r="T70" i="4"/>
  <c r="S70" i="4"/>
  <c r="R70" i="4"/>
  <c r="Q70" i="4"/>
  <c r="P70" i="4"/>
  <c r="O70" i="4"/>
  <c r="Z69" i="4"/>
  <c r="Y69" i="4"/>
  <c r="X69" i="4"/>
  <c r="W69" i="4"/>
  <c r="V69" i="4"/>
  <c r="U69" i="4"/>
  <c r="T69" i="4"/>
  <c r="S69" i="4"/>
  <c r="R69" i="4"/>
  <c r="Q69" i="4"/>
  <c r="P69" i="4"/>
  <c r="O69" i="4"/>
  <c r="Z68" i="4"/>
  <c r="Y68" i="4"/>
  <c r="X68" i="4"/>
  <c r="W68" i="4"/>
  <c r="V68" i="4"/>
  <c r="U68" i="4"/>
  <c r="T68" i="4"/>
  <c r="S68" i="4"/>
  <c r="R68" i="4"/>
  <c r="Q68" i="4"/>
  <c r="P68" i="4"/>
  <c r="O68" i="4"/>
  <c r="Z67" i="4"/>
  <c r="Y67" i="4"/>
  <c r="X67" i="4"/>
  <c r="W67" i="4"/>
  <c r="V67" i="4"/>
  <c r="U67" i="4"/>
  <c r="T67" i="4"/>
  <c r="S67" i="4"/>
  <c r="R67" i="4"/>
  <c r="Q67" i="4"/>
  <c r="P67" i="4"/>
  <c r="O67" i="4"/>
  <c r="Z66" i="4"/>
  <c r="Y66" i="4"/>
  <c r="X66" i="4"/>
  <c r="W66" i="4"/>
  <c r="V66" i="4"/>
  <c r="U66" i="4"/>
  <c r="T66" i="4"/>
  <c r="S66" i="4"/>
  <c r="R66" i="4"/>
  <c r="Q66" i="4"/>
  <c r="P66" i="4"/>
  <c r="O66" i="4"/>
  <c r="Z65" i="4"/>
  <c r="Y65" i="4"/>
  <c r="X65" i="4"/>
  <c r="W65" i="4"/>
  <c r="V65" i="4"/>
  <c r="U65" i="4"/>
  <c r="T65" i="4"/>
  <c r="S65" i="4"/>
  <c r="R65" i="4"/>
  <c r="Q65" i="4"/>
  <c r="P65" i="4"/>
  <c r="O65" i="4"/>
  <c r="Z64" i="4"/>
  <c r="Y64" i="4"/>
  <c r="X64" i="4"/>
  <c r="W64" i="4"/>
  <c r="V64" i="4"/>
  <c r="U64" i="4"/>
  <c r="T64" i="4"/>
  <c r="S64" i="4"/>
  <c r="R64" i="4"/>
  <c r="Q64" i="4"/>
  <c r="P64" i="4"/>
  <c r="O64" i="4"/>
  <c r="Z63" i="4"/>
  <c r="Y63" i="4"/>
  <c r="X63" i="4"/>
  <c r="W63" i="4"/>
  <c r="V63" i="4"/>
  <c r="U63" i="4"/>
  <c r="T63" i="4"/>
  <c r="S63" i="4"/>
  <c r="R63" i="4"/>
  <c r="Q63" i="4"/>
  <c r="P63" i="4"/>
  <c r="O63" i="4"/>
  <c r="Z62" i="4"/>
  <c r="Y62" i="4"/>
  <c r="X62" i="4"/>
  <c r="W62" i="4"/>
  <c r="V62" i="4"/>
  <c r="U62" i="4"/>
  <c r="T62" i="4"/>
  <c r="S62" i="4"/>
  <c r="R62" i="4"/>
  <c r="Q62" i="4"/>
  <c r="P62" i="4"/>
  <c r="O62" i="4"/>
  <c r="Z61" i="4"/>
  <c r="Y61" i="4"/>
  <c r="X61" i="4"/>
  <c r="W61" i="4"/>
  <c r="V61" i="4"/>
  <c r="U61" i="4"/>
  <c r="T61" i="4"/>
  <c r="S61" i="4"/>
  <c r="R61" i="4"/>
  <c r="Q61" i="4"/>
  <c r="P61" i="4"/>
  <c r="O61" i="4"/>
  <c r="Z60" i="4"/>
  <c r="Y60" i="4"/>
  <c r="X60" i="4"/>
  <c r="W60" i="4"/>
  <c r="V60" i="4"/>
  <c r="U60" i="4"/>
  <c r="T60" i="4"/>
  <c r="S60" i="4"/>
  <c r="R60" i="4"/>
  <c r="Q60" i="4"/>
  <c r="P60" i="4"/>
  <c r="O60" i="4"/>
  <c r="Z59" i="4"/>
  <c r="Y59" i="4"/>
  <c r="X59" i="4"/>
  <c r="W59" i="4"/>
  <c r="V59" i="4"/>
  <c r="U59" i="4"/>
  <c r="T59" i="4"/>
  <c r="S59" i="4"/>
  <c r="R59" i="4"/>
  <c r="Q59" i="4"/>
  <c r="P59" i="4"/>
  <c r="O59" i="4"/>
  <c r="Z58" i="4"/>
  <c r="Y58" i="4"/>
  <c r="X58" i="4"/>
  <c r="W58" i="4"/>
  <c r="V58" i="4"/>
  <c r="U58" i="4"/>
  <c r="T58" i="4"/>
  <c r="S58" i="4"/>
  <c r="R58" i="4"/>
  <c r="Q58" i="4"/>
  <c r="P58" i="4"/>
  <c r="O58" i="4"/>
  <c r="Z57" i="4"/>
  <c r="Y57" i="4"/>
  <c r="X57" i="4"/>
  <c r="W57" i="4"/>
  <c r="V57" i="4"/>
  <c r="U57" i="4"/>
  <c r="T57" i="4"/>
  <c r="S57" i="4"/>
  <c r="R57" i="4"/>
  <c r="Q57" i="4"/>
  <c r="P57" i="4"/>
  <c r="O57" i="4"/>
  <c r="Z56" i="4"/>
  <c r="Y56" i="4"/>
  <c r="X56" i="4"/>
  <c r="W56" i="4"/>
  <c r="V56" i="4"/>
  <c r="U56" i="4"/>
  <c r="T56" i="4"/>
  <c r="S56" i="4"/>
  <c r="R56" i="4"/>
  <c r="Q56" i="4"/>
  <c r="P56" i="4"/>
  <c r="O56" i="4"/>
  <c r="Z55" i="4"/>
  <c r="Y55" i="4"/>
  <c r="X55" i="4"/>
  <c r="W55" i="4"/>
  <c r="V55" i="4"/>
  <c r="U55" i="4"/>
  <c r="T55" i="4"/>
  <c r="S55" i="4"/>
  <c r="R55" i="4"/>
  <c r="Q55" i="4"/>
  <c r="P55" i="4"/>
  <c r="O55" i="4"/>
  <c r="Z54" i="4"/>
  <c r="Y54" i="4"/>
  <c r="X54" i="4"/>
  <c r="W54" i="4"/>
  <c r="V54" i="4"/>
  <c r="U54" i="4"/>
  <c r="T54" i="4"/>
  <c r="S54" i="4"/>
  <c r="R54" i="4"/>
  <c r="Q54" i="4"/>
  <c r="P54" i="4"/>
  <c r="O54" i="4"/>
  <c r="Z53" i="4"/>
  <c r="Y53" i="4"/>
  <c r="X53" i="4"/>
  <c r="W53" i="4"/>
  <c r="V53" i="4"/>
  <c r="U53" i="4"/>
  <c r="T53" i="4"/>
  <c r="S53" i="4"/>
  <c r="R53" i="4"/>
  <c r="Q53" i="4"/>
  <c r="P53" i="4"/>
  <c r="O53" i="4"/>
  <c r="Z52" i="4"/>
  <c r="Y52" i="4"/>
  <c r="X52" i="4"/>
  <c r="W52" i="4"/>
  <c r="V52" i="4"/>
  <c r="U52" i="4"/>
  <c r="T52" i="4"/>
  <c r="S52" i="4"/>
  <c r="R52" i="4"/>
  <c r="Q52" i="4"/>
  <c r="P52" i="4"/>
  <c r="O52" i="4"/>
  <c r="Z51" i="4"/>
  <c r="Y51" i="4"/>
  <c r="X51" i="4"/>
  <c r="W51" i="4"/>
  <c r="V51" i="4"/>
  <c r="U51" i="4"/>
  <c r="T51" i="4"/>
  <c r="S51" i="4"/>
  <c r="R51" i="4"/>
  <c r="Q51" i="4"/>
  <c r="P51" i="4"/>
  <c r="O51" i="4"/>
  <c r="Z50" i="4"/>
  <c r="Y50" i="4"/>
  <c r="X50" i="4"/>
  <c r="W50" i="4"/>
  <c r="V50" i="4"/>
  <c r="U50" i="4"/>
  <c r="T50" i="4"/>
  <c r="S50" i="4"/>
  <c r="R50" i="4"/>
  <c r="Q50" i="4"/>
  <c r="P50" i="4"/>
  <c r="O50" i="4"/>
  <c r="Z49" i="4"/>
  <c r="Y49" i="4"/>
  <c r="X49" i="4"/>
  <c r="W49" i="4"/>
  <c r="V49" i="4"/>
  <c r="U49" i="4"/>
  <c r="T49" i="4"/>
  <c r="S49" i="4"/>
  <c r="R49" i="4"/>
  <c r="Q49" i="4"/>
  <c r="P49" i="4"/>
  <c r="O49" i="4"/>
  <c r="Z48" i="4"/>
  <c r="Y48" i="4"/>
  <c r="X48" i="4"/>
  <c r="W48" i="4"/>
  <c r="V48" i="4"/>
  <c r="U48" i="4"/>
  <c r="T48" i="4"/>
  <c r="S48" i="4"/>
  <c r="R48" i="4"/>
  <c r="Q48" i="4"/>
  <c r="P48" i="4"/>
  <c r="O48" i="4"/>
  <c r="Z47" i="4"/>
  <c r="Y47" i="4"/>
  <c r="X47" i="4"/>
  <c r="W47" i="4"/>
  <c r="V47" i="4"/>
  <c r="U47" i="4"/>
  <c r="T47" i="4"/>
  <c r="S47" i="4"/>
  <c r="R47" i="4"/>
  <c r="Q47" i="4"/>
  <c r="P47" i="4"/>
  <c r="O47" i="4"/>
  <c r="Z46" i="4"/>
  <c r="Y46" i="4"/>
  <c r="X46" i="4"/>
  <c r="W46" i="4"/>
  <c r="V46" i="4"/>
  <c r="U46" i="4"/>
  <c r="T46" i="4"/>
  <c r="S46" i="4"/>
  <c r="R46" i="4"/>
  <c r="Q46" i="4"/>
  <c r="P46" i="4"/>
  <c r="O46" i="4"/>
  <c r="Z45" i="4"/>
  <c r="Y45" i="4"/>
  <c r="X45" i="4"/>
  <c r="W45" i="4"/>
  <c r="V45" i="4"/>
  <c r="U45" i="4"/>
  <c r="T45" i="4"/>
  <c r="S45" i="4"/>
  <c r="R45" i="4"/>
  <c r="Q45" i="4"/>
  <c r="P45" i="4"/>
  <c r="O45" i="4"/>
  <c r="Z44" i="4"/>
  <c r="Y44" i="4"/>
  <c r="X44" i="4"/>
  <c r="W44" i="4"/>
  <c r="V44" i="4"/>
  <c r="U44" i="4"/>
  <c r="T44" i="4"/>
  <c r="S44" i="4"/>
  <c r="R44" i="4"/>
  <c r="Q44" i="4"/>
  <c r="P44" i="4"/>
  <c r="O44" i="4"/>
  <c r="Z43" i="4"/>
  <c r="Y43" i="4"/>
  <c r="X43" i="4"/>
  <c r="W43" i="4"/>
  <c r="V43" i="4"/>
  <c r="U43" i="4"/>
  <c r="T43" i="4"/>
  <c r="S43" i="4"/>
  <c r="R43" i="4"/>
  <c r="Q43" i="4"/>
  <c r="P43" i="4"/>
  <c r="O43" i="4"/>
  <c r="Z42" i="4"/>
  <c r="Y42" i="4"/>
  <c r="X42" i="4"/>
  <c r="W42" i="4"/>
  <c r="V42" i="4"/>
  <c r="U42" i="4"/>
  <c r="T42" i="4"/>
  <c r="S42" i="4"/>
  <c r="R42" i="4"/>
  <c r="Q42" i="4"/>
  <c r="P42" i="4"/>
  <c r="O42" i="4"/>
  <c r="Z41" i="4"/>
  <c r="Y41" i="4"/>
  <c r="X41" i="4"/>
  <c r="W41" i="4"/>
  <c r="V41" i="4"/>
  <c r="U41" i="4"/>
  <c r="T41" i="4"/>
  <c r="S41" i="4"/>
  <c r="R41" i="4"/>
  <c r="Q41" i="4"/>
  <c r="P41" i="4"/>
  <c r="O41" i="4"/>
  <c r="Z40" i="4"/>
  <c r="Y40" i="4"/>
  <c r="X40" i="4"/>
  <c r="W40" i="4"/>
  <c r="V40" i="4"/>
  <c r="U40" i="4"/>
  <c r="T40" i="4"/>
  <c r="S40" i="4"/>
  <c r="R40" i="4"/>
  <c r="Q40" i="4"/>
  <c r="P40" i="4"/>
  <c r="O40" i="4"/>
  <c r="Z39" i="4"/>
  <c r="X39" i="4"/>
  <c r="W39" i="4"/>
  <c r="V39" i="4"/>
  <c r="U39" i="4"/>
  <c r="T39" i="4"/>
  <c r="S39" i="4"/>
  <c r="R39" i="4"/>
  <c r="Q39" i="4"/>
  <c r="P39" i="4"/>
  <c r="O39" i="4"/>
  <c r="Z38" i="4"/>
  <c r="Y38" i="4"/>
  <c r="X38" i="4"/>
  <c r="W38" i="4"/>
  <c r="V38" i="4"/>
  <c r="U38" i="4"/>
  <c r="T38" i="4"/>
  <c r="S38" i="4"/>
  <c r="R38" i="4"/>
  <c r="Q38" i="4"/>
  <c r="P38" i="4"/>
  <c r="O38" i="4"/>
  <c r="Z37" i="4"/>
  <c r="Y37" i="4"/>
  <c r="X37" i="4"/>
  <c r="W37" i="4"/>
  <c r="V37" i="4"/>
  <c r="U37" i="4"/>
  <c r="T37" i="4"/>
  <c r="S37" i="4"/>
  <c r="R37" i="4"/>
  <c r="Q37" i="4"/>
  <c r="P37" i="4"/>
  <c r="O37" i="4"/>
  <c r="Z36" i="4"/>
  <c r="Y36" i="4"/>
  <c r="X36" i="4"/>
  <c r="W36" i="4"/>
  <c r="V36" i="4"/>
  <c r="U36" i="4"/>
  <c r="T36" i="4"/>
  <c r="S36" i="4"/>
  <c r="R36" i="4"/>
  <c r="Q36" i="4"/>
  <c r="P36" i="4"/>
  <c r="O36" i="4"/>
  <c r="Z35" i="4"/>
  <c r="Y35" i="4"/>
  <c r="X35" i="4"/>
  <c r="W35" i="4"/>
  <c r="V35" i="4"/>
  <c r="U35" i="4"/>
  <c r="T35" i="4"/>
  <c r="S35" i="4"/>
  <c r="R35" i="4"/>
  <c r="Q35" i="4"/>
  <c r="P35" i="4"/>
  <c r="O35" i="4"/>
  <c r="Z34" i="4"/>
  <c r="Y34" i="4"/>
  <c r="X34" i="4"/>
  <c r="W34" i="4"/>
  <c r="V34" i="4"/>
  <c r="U34" i="4"/>
  <c r="T34" i="4"/>
  <c r="S34" i="4"/>
  <c r="R34" i="4"/>
  <c r="Q34" i="4"/>
  <c r="P34" i="4"/>
  <c r="O34" i="4"/>
  <c r="Z33" i="4"/>
  <c r="Y33" i="4"/>
  <c r="X33" i="4"/>
  <c r="W33" i="4"/>
  <c r="V33" i="4"/>
  <c r="U33" i="4"/>
  <c r="T33" i="4"/>
  <c r="S33" i="4"/>
  <c r="R33" i="4"/>
  <c r="Q33" i="4"/>
  <c r="P33" i="4"/>
  <c r="O33" i="4"/>
  <c r="Z32" i="4"/>
  <c r="Y32" i="4"/>
  <c r="X32" i="4"/>
  <c r="W32" i="4"/>
  <c r="V32" i="4"/>
  <c r="U32" i="4"/>
  <c r="T32" i="4"/>
  <c r="S32" i="4"/>
  <c r="R32" i="4"/>
  <c r="Q32" i="4"/>
  <c r="P32" i="4"/>
  <c r="O32" i="4"/>
  <c r="Z31" i="4"/>
  <c r="Y31" i="4"/>
  <c r="X31" i="4"/>
  <c r="W31" i="4"/>
  <c r="V31" i="4"/>
  <c r="U31" i="4"/>
  <c r="T31" i="4"/>
  <c r="S31" i="4"/>
  <c r="R31" i="4"/>
  <c r="Q31" i="4"/>
  <c r="P31" i="4"/>
  <c r="O31" i="4"/>
  <c r="Z30" i="4"/>
  <c r="Y30" i="4"/>
  <c r="X30" i="4"/>
  <c r="W30" i="4"/>
  <c r="V30" i="4"/>
  <c r="U30" i="4"/>
  <c r="T30" i="4"/>
  <c r="S30" i="4"/>
  <c r="R30" i="4"/>
  <c r="Q30" i="4"/>
  <c r="P30" i="4"/>
  <c r="O30" i="4"/>
  <c r="Z29" i="4"/>
  <c r="Y29" i="4"/>
  <c r="X29" i="4"/>
  <c r="W29" i="4"/>
  <c r="V29" i="4"/>
  <c r="U29" i="4"/>
  <c r="T29" i="4"/>
  <c r="S29" i="4"/>
  <c r="R29" i="4"/>
  <c r="Q29" i="4"/>
  <c r="P29" i="4"/>
  <c r="O29" i="4"/>
  <c r="Z28" i="4"/>
  <c r="Y28" i="4"/>
  <c r="X28" i="4"/>
  <c r="W28" i="4"/>
  <c r="V28" i="4"/>
  <c r="U28" i="4"/>
  <c r="T28" i="4"/>
  <c r="S28" i="4"/>
  <c r="R28" i="4"/>
  <c r="Q28" i="4"/>
  <c r="P28" i="4"/>
  <c r="O28" i="4"/>
  <c r="Z27" i="4"/>
  <c r="Y27" i="4"/>
  <c r="X27" i="4"/>
  <c r="W27" i="4"/>
  <c r="V27" i="4"/>
  <c r="U27" i="4"/>
  <c r="T27" i="4"/>
  <c r="S27" i="4"/>
  <c r="R27" i="4"/>
  <c r="Q27" i="4"/>
  <c r="P27" i="4"/>
  <c r="O27" i="4"/>
  <c r="Z26" i="4"/>
  <c r="X26" i="4"/>
  <c r="W26" i="4"/>
  <c r="V26" i="4"/>
  <c r="U26" i="4"/>
  <c r="T26" i="4"/>
  <c r="S26" i="4"/>
  <c r="R26" i="4"/>
  <c r="Q26" i="4"/>
  <c r="P26" i="4"/>
  <c r="O26" i="4"/>
  <c r="Z25" i="4"/>
  <c r="X25" i="4"/>
  <c r="W25" i="4"/>
  <c r="V25" i="4"/>
  <c r="U25" i="4"/>
  <c r="T25" i="4"/>
  <c r="S25" i="4"/>
  <c r="R25" i="4"/>
  <c r="Q25" i="4"/>
  <c r="P25" i="4"/>
  <c r="O25" i="4"/>
  <c r="Z24" i="4"/>
  <c r="Y24" i="4"/>
  <c r="X24" i="4"/>
  <c r="W24" i="4"/>
  <c r="V24" i="4"/>
  <c r="U24" i="4"/>
  <c r="T24" i="4"/>
  <c r="S24" i="4"/>
  <c r="R24" i="4"/>
  <c r="Q24" i="4"/>
  <c r="P24" i="4"/>
  <c r="O24" i="4"/>
  <c r="Z23" i="4"/>
  <c r="Y23" i="4"/>
  <c r="X23" i="4"/>
  <c r="W23" i="4"/>
  <c r="V23" i="4"/>
  <c r="U23" i="4"/>
  <c r="T23" i="4"/>
  <c r="S23" i="4"/>
  <c r="R23" i="4"/>
  <c r="Q23" i="4"/>
  <c r="P23" i="4"/>
  <c r="O23" i="4"/>
  <c r="Z22" i="4"/>
  <c r="X22" i="4"/>
  <c r="W22" i="4"/>
  <c r="V22" i="4"/>
  <c r="U22" i="4"/>
  <c r="T22" i="4"/>
  <c r="S22" i="4"/>
  <c r="R22" i="4"/>
  <c r="Q22" i="4"/>
  <c r="P22" i="4"/>
  <c r="O22" i="4"/>
  <c r="Z21" i="4"/>
  <c r="Y21" i="4"/>
  <c r="X21" i="4"/>
  <c r="W21" i="4"/>
  <c r="V21" i="4"/>
  <c r="U21" i="4"/>
  <c r="T21" i="4"/>
  <c r="S21" i="4"/>
  <c r="R21" i="4"/>
  <c r="Q21" i="4"/>
  <c r="P21" i="4"/>
  <c r="O21" i="4"/>
  <c r="Z20" i="4"/>
  <c r="X20" i="4"/>
  <c r="W20" i="4"/>
  <c r="V20" i="4"/>
  <c r="U20" i="4"/>
  <c r="T20" i="4"/>
  <c r="S20" i="4"/>
  <c r="R20" i="4"/>
  <c r="Q20" i="4"/>
  <c r="P20" i="4"/>
  <c r="O20" i="4"/>
  <c r="Z19" i="4"/>
  <c r="Y19" i="4"/>
  <c r="X19" i="4"/>
  <c r="W19" i="4"/>
  <c r="V19" i="4"/>
  <c r="U19" i="4"/>
  <c r="T19" i="4"/>
  <c r="S19" i="4"/>
  <c r="R19" i="4"/>
  <c r="Q19" i="4"/>
  <c r="P19" i="4"/>
  <c r="O19" i="4"/>
  <c r="Z18" i="4"/>
  <c r="Y18" i="4"/>
  <c r="X18" i="4"/>
  <c r="W18" i="4"/>
  <c r="V18" i="4"/>
  <c r="U18" i="4"/>
  <c r="T18" i="4"/>
  <c r="S18" i="4"/>
  <c r="R18" i="4"/>
  <c r="Q18" i="4"/>
  <c r="P18" i="4"/>
  <c r="O18" i="4"/>
  <c r="Z17" i="4"/>
  <c r="Y17" i="4"/>
  <c r="X17" i="4"/>
  <c r="W17" i="4"/>
  <c r="V17" i="4"/>
  <c r="U17" i="4"/>
  <c r="T17" i="4"/>
  <c r="S17" i="4"/>
  <c r="R17" i="4"/>
  <c r="Q17" i="4"/>
  <c r="P17" i="4"/>
  <c r="O17" i="4"/>
  <c r="Z16" i="4"/>
  <c r="X16" i="4"/>
  <c r="W16" i="4"/>
  <c r="V16" i="4"/>
  <c r="U16" i="4"/>
  <c r="T16" i="4"/>
  <c r="S16" i="4"/>
  <c r="R16" i="4"/>
  <c r="Q16" i="4"/>
  <c r="P16" i="4"/>
  <c r="O16" i="4"/>
  <c r="Z15" i="4"/>
  <c r="Y15" i="4"/>
  <c r="X15" i="4"/>
  <c r="W15" i="4"/>
  <c r="V15" i="4"/>
  <c r="U15" i="4"/>
  <c r="T15" i="4"/>
  <c r="S15" i="4"/>
  <c r="R15" i="4"/>
  <c r="Q15" i="4"/>
  <c r="P15" i="4"/>
  <c r="O15" i="4"/>
  <c r="Z14" i="4"/>
  <c r="Y14" i="4"/>
  <c r="X14" i="4"/>
  <c r="W14" i="4"/>
  <c r="V14" i="4"/>
  <c r="U14" i="4"/>
  <c r="T14" i="4"/>
  <c r="S14" i="4"/>
  <c r="R14" i="4"/>
  <c r="Q14" i="4"/>
  <c r="P14" i="4"/>
  <c r="O14" i="4"/>
  <c r="Z13" i="4"/>
  <c r="Y13" i="4"/>
  <c r="X13" i="4"/>
  <c r="W13" i="4"/>
  <c r="V13" i="4"/>
  <c r="U13" i="4"/>
  <c r="T13" i="4"/>
  <c r="S13" i="4"/>
  <c r="R13" i="4"/>
  <c r="Q13" i="4"/>
  <c r="P13" i="4"/>
  <c r="O13" i="4"/>
  <c r="Z12" i="4"/>
  <c r="Y12" i="4"/>
  <c r="X12" i="4"/>
  <c r="W12" i="4"/>
  <c r="V12" i="4"/>
  <c r="U12" i="4"/>
  <c r="T12" i="4"/>
  <c r="S12" i="4"/>
  <c r="R12" i="4"/>
  <c r="Q12" i="4"/>
  <c r="P12" i="4"/>
  <c r="O12" i="4"/>
  <c r="Z11" i="4"/>
  <c r="Y11" i="4"/>
  <c r="X11" i="4"/>
  <c r="W11" i="4"/>
  <c r="V11" i="4"/>
  <c r="U11" i="4"/>
  <c r="T11" i="4"/>
  <c r="S11" i="4"/>
  <c r="R11" i="4"/>
  <c r="Q11" i="4"/>
  <c r="P11" i="4"/>
  <c r="O11" i="4"/>
  <c r="Z10" i="4"/>
  <c r="Y10" i="4"/>
  <c r="X10" i="4"/>
  <c r="W10" i="4"/>
  <c r="V10" i="4"/>
  <c r="U10" i="4"/>
  <c r="T10" i="4"/>
  <c r="S10" i="4"/>
  <c r="R10" i="4"/>
  <c r="Q10" i="4"/>
  <c r="P10" i="4"/>
  <c r="O10" i="4"/>
  <c r="Z9" i="4"/>
  <c r="Y9" i="4"/>
  <c r="X9" i="4"/>
  <c r="W9" i="4"/>
  <c r="V9" i="4"/>
  <c r="U9" i="4"/>
  <c r="T9" i="4"/>
  <c r="S9" i="4"/>
  <c r="R9" i="4"/>
  <c r="Q9" i="4"/>
  <c r="P9" i="4"/>
  <c r="O9" i="4"/>
  <c r="Z8" i="4"/>
  <c r="Y8" i="4"/>
  <c r="X8" i="4"/>
  <c r="W8" i="4"/>
  <c r="V8" i="4"/>
  <c r="U8" i="4"/>
  <c r="T8" i="4"/>
  <c r="S8" i="4"/>
  <c r="R8" i="4"/>
  <c r="Q8" i="4"/>
  <c r="P8" i="4"/>
  <c r="O8" i="4"/>
  <c r="Z7" i="4"/>
  <c r="Y7" i="4"/>
  <c r="X7" i="4"/>
  <c r="W7" i="4"/>
  <c r="V7" i="4"/>
  <c r="U7" i="4"/>
  <c r="T7" i="4"/>
  <c r="S7" i="4"/>
  <c r="R7" i="4"/>
  <c r="Q7" i="4"/>
  <c r="P7" i="4"/>
  <c r="O7" i="4"/>
  <c r="Z6" i="4"/>
  <c r="Y6" i="4"/>
  <c r="X6" i="4"/>
  <c r="W6" i="4"/>
  <c r="V6" i="4"/>
  <c r="U6" i="4"/>
  <c r="T6" i="4"/>
  <c r="S6" i="4"/>
  <c r="R6" i="4"/>
  <c r="Q6" i="4"/>
  <c r="P6" i="4"/>
  <c r="O6" i="4"/>
  <c r="Z5" i="4"/>
  <c r="Y5" i="4"/>
  <c r="X5" i="4"/>
  <c r="W5" i="4"/>
  <c r="V5" i="4"/>
  <c r="U5" i="4"/>
  <c r="T5" i="4"/>
  <c r="S5" i="4"/>
  <c r="R5" i="4"/>
  <c r="Q5" i="4"/>
  <c r="P5" i="4"/>
  <c r="O5" i="4"/>
  <c r="Z4" i="4"/>
  <c r="Y4" i="4"/>
  <c r="X4" i="4"/>
  <c r="W4" i="4"/>
  <c r="V4" i="4"/>
  <c r="U4" i="4"/>
  <c r="T4" i="4"/>
  <c r="S4" i="4"/>
  <c r="R4" i="4"/>
  <c r="Q4" i="4"/>
  <c r="P4" i="4"/>
  <c r="O4" i="4"/>
  <c r="Z3" i="4"/>
  <c r="Y3" i="4"/>
  <c r="X3" i="4"/>
  <c r="W3" i="4"/>
  <c r="V3" i="4"/>
  <c r="U3" i="4"/>
  <c r="T3" i="4"/>
  <c r="S3" i="4"/>
  <c r="R3" i="4"/>
  <c r="Q3" i="4"/>
  <c r="P3" i="4"/>
  <c r="O3" i="4"/>
  <c r="Z2" i="4"/>
  <c r="Y2" i="4"/>
  <c r="X2" i="4"/>
  <c r="W2" i="4"/>
  <c r="V2" i="4"/>
  <c r="U2" i="4"/>
  <c r="T2" i="4"/>
  <c r="S2" i="4"/>
  <c r="B12" i="5" s="1"/>
  <c r="R2" i="4"/>
  <c r="Q2" i="4"/>
  <c r="P2" i="4"/>
  <c r="O2" i="4"/>
  <c r="K60" i="2"/>
  <c r="K59" i="2"/>
  <c r="K58" i="2"/>
  <c r="K57" i="2"/>
  <c r="K56" i="2"/>
  <c r="K55" i="2"/>
  <c r="K54" i="2"/>
  <c r="K53" i="2"/>
  <c r="K52" i="2"/>
  <c r="D52" i="2"/>
  <c r="H52" i="2" s="1"/>
  <c r="K51" i="2"/>
  <c r="D51" i="2"/>
  <c r="H51" i="2" s="1"/>
  <c r="H7" i="2"/>
  <c r="N6" i="2"/>
  <c r="H6" i="2"/>
  <c r="E6" i="2"/>
  <c r="B6" i="2"/>
  <c r="B2" i="2"/>
  <c r="B72" i="12" l="1"/>
  <c r="H14" i="2" s="1"/>
  <c r="B71" i="12"/>
  <c r="B70" i="12"/>
  <c r="B65" i="12"/>
  <c r="B64" i="12"/>
  <c r="B63" i="12"/>
  <c r="B62" i="12"/>
  <c r="B61" i="12"/>
  <c r="B60" i="12"/>
  <c r="B59" i="12"/>
  <c r="B58" i="12"/>
  <c r="B57" i="12"/>
  <c r="C53" i="12"/>
  <c r="B53" i="12"/>
  <c r="C52" i="12"/>
  <c r="B52" i="12"/>
  <c r="C51" i="12"/>
  <c r="B51" i="12"/>
  <c r="C50" i="12"/>
  <c r="B50" i="12"/>
  <c r="C46" i="12"/>
  <c r="B46" i="12"/>
  <c r="C45" i="12"/>
  <c r="B45" i="12"/>
  <c r="B66" i="12"/>
  <c r="C66" i="12" s="1"/>
  <c r="C44" i="12"/>
  <c r="B44" i="12"/>
  <c r="C40" i="12"/>
  <c r="B40" i="12"/>
  <c r="C39" i="12"/>
  <c r="B39" i="12"/>
  <c r="C38" i="12"/>
  <c r="B38" i="12"/>
  <c r="C37" i="12"/>
  <c r="B37" i="12"/>
  <c r="C36" i="12"/>
  <c r="B36" i="12"/>
  <c r="F53" i="6"/>
  <c r="G53" i="6"/>
  <c r="E52" i="6"/>
  <c r="J52" i="6"/>
  <c r="G52" i="6"/>
  <c r="F52" i="6"/>
  <c r="J51" i="6"/>
  <c r="E51" i="6"/>
  <c r="G51" i="6"/>
  <c r="F51" i="6"/>
  <c r="E50" i="6"/>
  <c r="J50" i="6"/>
  <c r="F50" i="6"/>
  <c r="G50" i="6"/>
  <c r="J49" i="6"/>
  <c r="E49" i="6"/>
  <c r="G49" i="6"/>
  <c r="F49" i="6"/>
  <c r="E48" i="6"/>
  <c r="J48" i="6"/>
  <c r="F48" i="6"/>
  <c r="G48" i="6"/>
  <c r="E47" i="6"/>
  <c r="J47" i="6"/>
  <c r="G47" i="6"/>
  <c r="F47" i="6"/>
  <c r="J46" i="6"/>
  <c r="E46" i="6"/>
  <c r="G46" i="6"/>
  <c r="F46" i="6"/>
  <c r="J45" i="6"/>
  <c r="E45" i="6"/>
  <c r="F45" i="6"/>
  <c r="G45" i="6"/>
  <c r="E44" i="6"/>
  <c r="J44" i="6"/>
  <c r="F44" i="6"/>
  <c r="G44" i="6"/>
  <c r="J43" i="6"/>
  <c r="E43" i="6"/>
  <c r="G43" i="6"/>
  <c r="F43" i="6"/>
  <c r="J42" i="6"/>
  <c r="E42" i="6"/>
  <c r="G42" i="6"/>
  <c r="F42" i="6"/>
  <c r="E41" i="6"/>
  <c r="J41" i="6"/>
  <c r="F41" i="6"/>
  <c r="G41" i="6"/>
  <c r="J40" i="6"/>
  <c r="E40" i="6"/>
  <c r="G40" i="6"/>
  <c r="F40" i="6"/>
  <c r="J39" i="6"/>
  <c r="E39" i="6"/>
  <c r="F39" i="6"/>
  <c r="G39" i="6"/>
  <c r="E38" i="6"/>
  <c r="J38" i="6"/>
  <c r="F38" i="6"/>
  <c r="G38" i="6"/>
  <c r="E37" i="6"/>
  <c r="J37" i="6"/>
  <c r="G37" i="6"/>
  <c r="F37" i="6"/>
  <c r="E36" i="6"/>
  <c r="J36" i="6"/>
  <c r="F36" i="6"/>
  <c r="G36" i="6"/>
  <c r="E35" i="6"/>
  <c r="J35" i="6"/>
  <c r="F35" i="6"/>
  <c r="G35" i="6"/>
  <c r="E34" i="6"/>
  <c r="J34" i="6"/>
  <c r="F34" i="6"/>
  <c r="G34" i="6"/>
  <c r="E33" i="6"/>
  <c r="J33" i="6"/>
  <c r="F33" i="6"/>
  <c r="G33" i="6"/>
  <c r="J32" i="6"/>
  <c r="E32" i="6"/>
  <c r="G32" i="6"/>
  <c r="F32" i="6"/>
  <c r="E31" i="6"/>
  <c r="J31" i="6"/>
  <c r="F31" i="6"/>
  <c r="G31" i="6"/>
  <c r="J30" i="6"/>
  <c r="E30" i="6"/>
  <c r="G30" i="6"/>
  <c r="F30" i="6"/>
  <c r="E29" i="6"/>
  <c r="J29" i="6"/>
  <c r="F29" i="6"/>
  <c r="G29" i="6"/>
  <c r="J28" i="6"/>
  <c r="E28" i="6"/>
  <c r="G28" i="6"/>
  <c r="F28" i="6"/>
  <c r="J27" i="6"/>
  <c r="E27" i="6"/>
  <c r="F27" i="6"/>
  <c r="G27" i="6"/>
  <c r="E26" i="6"/>
  <c r="J26" i="6"/>
  <c r="G26" i="6"/>
  <c r="F26" i="6"/>
  <c r="J25" i="6"/>
  <c r="E25" i="6"/>
  <c r="G25" i="6"/>
  <c r="F25" i="6"/>
  <c r="E24" i="6"/>
  <c r="J24" i="6"/>
  <c r="F24" i="6"/>
  <c r="G24" i="6"/>
  <c r="J23" i="6"/>
  <c r="E23" i="6"/>
  <c r="F23" i="6"/>
  <c r="G23" i="6"/>
  <c r="J22" i="6"/>
  <c r="E22" i="6"/>
  <c r="G22" i="6"/>
  <c r="F22" i="6"/>
  <c r="J21" i="6"/>
  <c r="E21" i="6"/>
  <c r="F21" i="6"/>
  <c r="G21" i="6"/>
  <c r="J20" i="6"/>
  <c r="E20" i="6"/>
  <c r="G20" i="6"/>
  <c r="F20" i="6"/>
  <c r="E19" i="6"/>
  <c r="J19" i="6"/>
  <c r="G19" i="6"/>
  <c r="F19" i="6"/>
  <c r="E18" i="6"/>
  <c r="J18" i="6"/>
  <c r="F18" i="6"/>
  <c r="G18" i="6"/>
  <c r="E17" i="6"/>
  <c r="J17" i="6"/>
  <c r="F17" i="6"/>
  <c r="G17" i="6"/>
  <c r="J16" i="6"/>
  <c r="E16" i="6"/>
  <c r="F16" i="6"/>
  <c r="G16" i="6"/>
  <c r="J15" i="6"/>
  <c r="E15" i="6"/>
  <c r="F15" i="6"/>
  <c r="G15" i="6"/>
  <c r="J14" i="6"/>
  <c r="E14" i="6"/>
  <c r="F14" i="6"/>
  <c r="G14" i="6"/>
  <c r="J13" i="6"/>
  <c r="E13" i="6"/>
  <c r="G13" i="6"/>
  <c r="F13" i="6"/>
  <c r="E12" i="6"/>
  <c r="J12" i="6"/>
  <c r="G12" i="6"/>
  <c r="F12" i="6"/>
  <c r="J11" i="6"/>
  <c r="E11" i="6"/>
  <c r="G11" i="6"/>
  <c r="F11" i="6"/>
  <c r="J10" i="6"/>
  <c r="E10" i="6"/>
  <c r="G10" i="6"/>
  <c r="F10" i="6"/>
  <c r="E9" i="6"/>
  <c r="J9" i="6"/>
  <c r="G9" i="6"/>
  <c r="F9" i="6"/>
  <c r="E8" i="6"/>
  <c r="J8" i="6"/>
  <c r="G8" i="6"/>
  <c r="F8" i="6"/>
  <c r="E7" i="6"/>
  <c r="J7" i="6"/>
  <c r="G7" i="6"/>
  <c r="F7" i="6"/>
  <c r="E6" i="6"/>
  <c r="J6" i="6"/>
  <c r="G6" i="6"/>
  <c r="F6" i="6"/>
  <c r="J5" i="6"/>
  <c r="E5" i="6"/>
  <c r="G5" i="6"/>
  <c r="F5" i="6"/>
  <c r="J4" i="6"/>
  <c r="E4" i="6"/>
  <c r="G4" i="6"/>
  <c r="F4" i="6"/>
  <c r="B31" i="5" s="1"/>
  <c r="C92" i="5"/>
  <c r="B90" i="5"/>
  <c r="A91" i="5"/>
  <c r="E90" i="5"/>
  <c r="D90" i="5"/>
  <c r="B20" i="12"/>
  <c r="D85" i="5"/>
  <c r="F85" i="5"/>
  <c r="D84" i="5"/>
  <c r="F84" i="5"/>
  <c r="F83" i="5"/>
  <c r="D83" i="5"/>
  <c r="C86" i="5"/>
  <c r="B86" i="5"/>
  <c r="E83" i="5"/>
  <c r="D77" i="5"/>
  <c r="F77" i="5"/>
  <c r="D76" i="5"/>
  <c r="F76" i="5"/>
  <c r="F75" i="5"/>
  <c r="D75" i="5"/>
  <c r="D74" i="5"/>
  <c r="D78" i="5" s="1"/>
  <c r="C78" i="5"/>
  <c r="F74" i="5"/>
  <c r="B79" i="5"/>
  <c r="B23" i="3" s="1"/>
  <c r="E74" i="5"/>
  <c r="B78" i="5"/>
  <c r="D69" i="5"/>
  <c r="F69" i="5"/>
  <c r="F68" i="5"/>
  <c r="D68" i="5"/>
  <c r="F67" i="5"/>
  <c r="C70" i="5"/>
  <c r="D67" i="5"/>
  <c r="D70" i="5" s="1"/>
  <c r="B70" i="5"/>
  <c r="E67" i="5"/>
  <c r="D60" i="5"/>
  <c r="F60" i="5"/>
  <c r="D59" i="5"/>
  <c r="F59" i="5"/>
  <c r="F58" i="5"/>
  <c r="D58" i="5"/>
  <c r="D57" i="5"/>
  <c r="F57" i="5"/>
  <c r="F56" i="5"/>
  <c r="D56" i="5"/>
  <c r="D61" i="5" s="1"/>
  <c r="B62" i="5"/>
  <c r="C61" i="5"/>
  <c r="B63" i="5"/>
  <c r="B35" i="3" s="1"/>
  <c r="E56" i="5"/>
  <c r="B61" i="5"/>
  <c r="G44" i="5"/>
  <c r="F44" i="5"/>
  <c r="G43" i="5"/>
  <c r="F43" i="5"/>
  <c r="G42" i="5"/>
  <c r="F42" i="5"/>
  <c r="F41" i="5"/>
  <c r="G41" i="5"/>
  <c r="G40" i="5"/>
  <c r="F40" i="5"/>
  <c r="G39" i="5"/>
  <c r="F39" i="5"/>
  <c r="F38" i="5"/>
  <c r="G38" i="5"/>
  <c r="G37" i="5"/>
  <c r="F37" i="5"/>
  <c r="F36" i="5"/>
  <c r="G36" i="5"/>
  <c r="F35" i="5"/>
  <c r="G35" i="5"/>
  <c r="E45" i="5"/>
  <c r="B49" i="5"/>
  <c r="B48" i="5"/>
  <c r="D45" i="5"/>
  <c r="B47" i="5"/>
  <c r="B11" i="3" s="1"/>
  <c r="C45" i="5"/>
  <c r="B27" i="5"/>
  <c r="B123" i="5"/>
  <c r="C123" i="5"/>
  <c r="C124" i="5" s="1"/>
  <c r="D123" i="5"/>
  <c r="D124" i="5" s="1"/>
  <c r="E123" i="5"/>
  <c r="E124" i="5" s="1"/>
  <c r="B75" i="12"/>
  <c r="Q14" i="2" s="1"/>
  <c r="B10" i="5"/>
  <c r="Y16" i="4"/>
  <c r="H11" i="7"/>
  <c r="Y20" i="4"/>
  <c r="I52" i="2"/>
  <c r="E7" i="2"/>
  <c r="I51" i="2"/>
  <c r="B7" i="2"/>
  <c r="I12" i="6"/>
  <c r="B73" i="12" l="1"/>
  <c r="K14" i="2" s="1"/>
  <c r="E14" i="2"/>
  <c r="D59" i="2"/>
  <c r="F60" i="2"/>
  <c r="H60" i="2" s="1"/>
  <c r="D61" i="2"/>
  <c r="F59" i="2"/>
  <c r="H59" i="2" s="1"/>
  <c r="D60" i="2"/>
  <c r="F61" i="2"/>
  <c r="H61" i="2" s="1"/>
  <c r="M4" i="6"/>
  <c r="L51" i="2" s="1"/>
  <c r="N4" i="6"/>
  <c r="R4" i="6"/>
  <c r="M5" i="6"/>
  <c r="L52" i="2" s="1"/>
  <c r="N5" i="6"/>
  <c r="R5" i="6"/>
  <c r="M6" i="6"/>
  <c r="L53" i="2" s="1"/>
  <c r="N6" i="6"/>
  <c r="R6" i="6"/>
  <c r="M7" i="6"/>
  <c r="L54" i="2" s="1"/>
  <c r="N7" i="6"/>
  <c r="R7" i="6"/>
  <c r="M8" i="6"/>
  <c r="L55" i="2" s="1"/>
  <c r="N8" i="6"/>
  <c r="R8" i="6"/>
  <c r="M9" i="6"/>
  <c r="L56" i="2" s="1"/>
  <c r="N9" i="6"/>
  <c r="R9" i="6"/>
  <c r="M10" i="6"/>
  <c r="L57" i="2" s="1"/>
  <c r="N10" i="6"/>
  <c r="R10" i="6"/>
  <c r="M11" i="6"/>
  <c r="L58" i="2" s="1"/>
  <c r="N11" i="6"/>
  <c r="R11" i="6"/>
  <c r="M13" i="6"/>
  <c r="L60" i="2" s="1"/>
  <c r="N13" i="6"/>
  <c r="R13" i="6"/>
  <c r="R14" i="6"/>
  <c r="R16" i="6"/>
  <c r="B51" i="5"/>
  <c r="M12" i="6"/>
  <c r="L59" i="2" s="1"/>
  <c r="N12" i="6"/>
  <c r="R12" i="6"/>
  <c r="R15" i="6"/>
  <c r="R17" i="6"/>
  <c r="R18" i="6"/>
  <c r="C93" i="5"/>
  <c r="B23" i="9"/>
  <c r="A20" i="12"/>
  <c r="B91" i="5"/>
  <c r="D91" i="5"/>
  <c r="E91" i="5"/>
  <c r="A92" i="5"/>
  <c r="B21" i="12"/>
  <c r="B5" i="3"/>
  <c r="K6" i="2"/>
  <c r="D53" i="2"/>
  <c r="H53" i="2" s="1"/>
  <c r="B124" i="5"/>
  <c r="B128" i="5"/>
  <c r="C125" i="5"/>
  <c r="C11" i="10" s="1"/>
  <c r="C10" i="10"/>
  <c r="D125" i="5"/>
  <c r="D11" i="10" s="1"/>
  <c r="D10" i="10"/>
  <c r="E125" i="5"/>
  <c r="E11" i="10" s="1"/>
  <c r="E10" i="10"/>
  <c r="C61" i="12"/>
  <c r="C57" i="12"/>
  <c r="B29" i="5"/>
  <c r="D86" i="5"/>
  <c r="B14" i="3"/>
  <c r="C60" i="12"/>
  <c r="F45" i="5"/>
  <c r="C63" i="12"/>
  <c r="C59" i="12"/>
  <c r="C62" i="12"/>
  <c r="C65" i="12"/>
  <c r="C58" i="12"/>
  <c r="C64" i="12"/>
  <c r="B14" i="2"/>
  <c r="B74" i="12"/>
  <c r="N14" i="2" s="1"/>
  <c r="C20" i="12"/>
  <c r="D20" i="12"/>
  <c r="Y22" i="4"/>
  <c r="B11" i="7"/>
  <c r="C11" i="7"/>
  <c r="D11" i="7"/>
  <c r="E11" i="7"/>
  <c r="F11" i="7"/>
  <c r="G11" i="7"/>
  <c r="B12" i="7"/>
  <c r="E12" i="7"/>
  <c r="H12" i="7"/>
  <c r="F12" i="7"/>
  <c r="D12" i="7"/>
  <c r="C12" i="7"/>
  <c r="G12" i="7"/>
  <c r="I14" i="6"/>
  <c r="I16" i="6"/>
  <c r="S6" i="6"/>
  <c r="S5" i="6"/>
  <c r="S4" i="6"/>
  <c r="O4" i="6" l="1"/>
  <c r="Q51" i="2" s="1"/>
  <c r="O51" i="2"/>
  <c r="O5" i="6"/>
  <c r="Q52" i="2" s="1"/>
  <c r="O52" i="2"/>
  <c r="O6" i="6"/>
  <c r="Q53" i="2" s="1"/>
  <c r="O53" i="2"/>
  <c r="O7" i="6"/>
  <c r="Q54" i="2" s="1"/>
  <c r="O54" i="2"/>
  <c r="O8" i="6"/>
  <c r="Q55" i="2" s="1"/>
  <c r="O55" i="2"/>
  <c r="O9" i="6"/>
  <c r="Q56" i="2" s="1"/>
  <c r="O56" i="2"/>
  <c r="O10" i="6"/>
  <c r="Q57" i="2" s="1"/>
  <c r="O57" i="2"/>
  <c r="O58" i="2"/>
  <c r="O11" i="6"/>
  <c r="Q58" i="2" s="1"/>
  <c r="O13" i="6"/>
  <c r="Q60" i="2" s="1"/>
  <c r="O60" i="2"/>
  <c r="O12" i="6"/>
  <c r="Q59" i="2" s="1"/>
  <c r="O59" i="2"/>
  <c r="C94" i="5"/>
  <c r="B24" i="9"/>
  <c r="A21" i="12"/>
  <c r="B92" i="5"/>
  <c r="D92" i="5"/>
  <c r="E92" i="5"/>
  <c r="F92" i="5" s="1"/>
  <c r="A93" i="5"/>
  <c r="B22" i="12"/>
  <c r="D21" i="12"/>
  <c r="C21" i="12"/>
  <c r="I53" i="2"/>
  <c r="K7" i="2"/>
  <c r="B125" i="5"/>
  <c r="B11" i="10" s="1"/>
  <c r="B10" i="10"/>
  <c r="B129" i="5"/>
  <c r="B16" i="10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N7" i="2"/>
  <c r="B30" i="5"/>
  <c r="F91" i="5"/>
  <c r="B13" i="7"/>
  <c r="Y25" i="4"/>
  <c r="G13" i="7"/>
  <c r="E13" i="7"/>
  <c r="C13" i="7"/>
  <c r="H13" i="7"/>
  <c r="F13" i="7"/>
  <c r="D13" i="7"/>
  <c r="I15" i="6"/>
  <c r="S7" i="6"/>
  <c r="I21" i="6"/>
  <c r="C95" i="5" l="1"/>
  <c r="B25" i="9"/>
  <c r="A22" i="12"/>
  <c r="B93" i="5"/>
  <c r="D93" i="5"/>
  <c r="E93" i="5"/>
  <c r="A94" i="5"/>
  <c r="B23" i="12"/>
  <c r="D22" i="12"/>
  <c r="C22" i="12"/>
  <c r="B29" i="3"/>
  <c r="B17" i="10"/>
  <c r="B18" i="10" s="1"/>
  <c r="B19" i="10" s="1"/>
  <c r="B8" i="3"/>
  <c r="Q6" i="2"/>
  <c r="D54" i="2"/>
  <c r="H54" i="2" s="1"/>
  <c r="I22" i="6"/>
  <c r="Y26" i="4"/>
  <c r="F15" i="7"/>
  <c r="B15" i="7"/>
  <c r="E14" i="7"/>
  <c r="Y39" i="4"/>
  <c r="D16" i="7"/>
  <c r="B16" i="7"/>
  <c r="G15" i="7"/>
  <c r="E15" i="7"/>
  <c r="C15" i="7"/>
  <c r="H14" i="7"/>
  <c r="F14" i="7"/>
  <c r="D14" i="7"/>
  <c r="B14" i="7"/>
  <c r="E16" i="7"/>
  <c r="H15" i="7"/>
  <c r="D15" i="7"/>
  <c r="G14" i="7"/>
  <c r="C14" i="7"/>
  <c r="S9" i="6"/>
  <c r="S8" i="6"/>
  <c r="B26" i="9" l="1"/>
  <c r="A23" i="12"/>
  <c r="B94" i="5"/>
  <c r="D94" i="5"/>
  <c r="E94" i="5"/>
  <c r="A95" i="5"/>
  <c r="B24" i="12"/>
  <c r="D23" i="12"/>
  <c r="C23" i="12"/>
  <c r="I54" i="2"/>
  <c r="Q7" i="2"/>
  <c r="I24" i="6"/>
  <c r="C96" i="5"/>
  <c r="C97" i="5" s="1"/>
  <c r="C98" i="5" s="1"/>
  <c r="C99" i="5" s="1"/>
  <c r="C100" i="5" s="1"/>
  <c r="C101" i="5" s="1"/>
  <c r="C102" i="5" s="1"/>
  <c r="F93" i="5"/>
  <c r="Y128" i="4"/>
  <c r="B27" i="9" l="1"/>
  <c r="A24" i="12"/>
  <c r="B95" i="5"/>
  <c r="D95" i="5"/>
  <c r="E95" i="5"/>
  <c r="A96" i="5"/>
  <c r="B25" i="12"/>
  <c r="D24" i="12"/>
  <c r="C24" i="12"/>
  <c r="I26" i="6"/>
  <c r="I27" i="6" s="1"/>
  <c r="I28" i="6" s="1"/>
  <c r="I30" i="6" s="1"/>
  <c r="I32" i="6" s="1"/>
  <c r="I33" i="6" s="1"/>
  <c r="I35" i="6" s="1"/>
  <c r="I38" i="6" s="1"/>
  <c r="I40" i="6" s="1"/>
  <c r="I43" i="6" s="1"/>
  <c r="I44" i="6" s="1"/>
  <c r="I50" i="6" s="1"/>
  <c r="G40" i="7"/>
  <c r="F40" i="7"/>
  <c r="E40" i="7"/>
  <c r="Y149" i="4"/>
  <c r="Y152" i="4" s="1"/>
  <c r="Y158" i="4" s="1"/>
  <c r="Y203" i="4" s="1"/>
  <c r="Y218" i="4" s="1"/>
  <c r="F94" i="5"/>
  <c r="B28" i="9" l="1"/>
  <c r="A25" i="12"/>
  <c r="B96" i="5"/>
  <c r="D96" i="5"/>
  <c r="E96" i="5"/>
  <c r="A97" i="5"/>
  <c r="B26" i="12"/>
  <c r="C25" i="12"/>
  <c r="D25" i="12"/>
  <c r="S40" i="6"/>
  <c r="S36" i="6"/>
  <c r="S39" i="6"/>
  <c r="S33" i="6"/>
  <c r="S43" i="6"/>
  <c r="S18" i="6"/>
  <c r="S19" i="6"/>
  <c r="S53" i="6"/>
  <c r="S35" i="6"/>
  <c r="S34" i="6"/>
  <c r="S28" i="6"/>
  <c r="S27" i="6"/>
  <c r="S25" i="6"/>
  <c r="S23" i="6"/>
  <c r="S21" i="6"/>
  <c r="S38" i="6"/>
  <c r="S41" i="6"/>
  <c r="S37" i="6"/>
  <c r="S42" i="6"/>
  <c r="S44" i="6"/>
  <c r="S26" i="6"/>
  <c r="S30" i="6"/>
  <c r="S13" i="6"/>
  <c r="S31" i="6"/>
  <c r="S10" i="6"/>
  <c r="S32" i="6"/>
  <c r="S11" i="6"/>
  <c r="S16" i="6"/>
  <c r="S24" i="6"/>
  <c r="S22" i="6"/>
  <c r="S14" i="6"/>
  <c r="S20" i="6"/>
  <c r="S29" i="6"/>
  <c r="D27" i="7"/>
  <c r="D28" i="7"/>
  <c r="F30" i="7"/>
  <c r="B19" i="7"/>
  <c r="C20" i="7"/>
  <c r="D22" i="7"/>
  <c r="E20" i="7"/>
  <c r="E26" i="7"/>
  <c r="C21" i="7"/>
  <c r="C27" i="7"/>
  <c r="E23" i="7"/>
  <c r="B17" i="7"/>
  <c r="F21" i="7"/>
  <c r="F22" i="7"/>
  <c r="H23" i="7"/>
  <c r="F24" i="7"/>
  <c r="G25" i="7"/>
  <c r="G26" i="7"/>
  <c r="F26" i="7"/>
  <c r="B25" i="7"/>
  <c r="E22" i="7"/>
  <c r="H27" i="7"/>
  <c r="F28" i="7"/>
  <c r="C29" i="7"/>
  <c r="G29" i="7"/>
  <c r="C30" i="7"/>
  <c r="H30" i="7"/>
  <c r="F31" i="7"/>
  <c r="D32" i="7"/>
  <c r="H32" i="7"/>
  <c r="F33" i="7"/>
  <c r="D34" i="7"/>
  <c r="B6" i="7"/>
  <c r="D35" i="7"/>
  <c r="G35" i="7"/>
  <c r="D36" i="7"/>
  <c r="H36" i="7"/>
  <c r="E37" i="7"/>
  <c r="D31" i="7"/>
  <c r="C19" i="7"/>
  <c r="G16" i="7"/>
  <c r="D17" i="7"/>
  <c r="B22" i="7"/>
  <c r="H20" i="7"/>
  <c r="F16" i="7"/>
  <c r="H16" i="7"/>
  <c r="C17" i="7"/>
  <c r="E17" i="7"/>
  <c r="G17" i="7"/>
  <c r="D20" i="7"/>
  <c r="C26" i="7"/>
  <c r="C25" i="7"/>
  <c r="E24" i="7"/>
  <c r="G23" i="7"/>
  <c r="H22" i="7"/>
  <c r="C22" i="7"/>
  <c r="E21" i="7"/>
  <c r="G20" i="7"/>
  <c r="B20" i="7"/>
  <c r="H19" i="7"/>
  <c r="G19" i="7"/>
  <c r="F19" i="7"/>
  <c r="B18" i="7"/>
  <c r="H18" i="7"/>
  <c r="F20" i="7"/>
  <c r="F18" i="7"/>
  <c r="E18" i="7"/>
  <c r="D18" i="7"/>
  <c r="B21" i="7"/>
  <c r="D21" i="7"/>
  <c r="G21" i="7"/>
  <c r="D26" i="7"/>
  <c r="D25" i="7"/>
  <c r="G24" i="7"/>
  <c r="B24" i="7"/>
  <c r="D23" i="7"/>
  <c r="C18" i="7"/>
  <c r="D39" i="7"/>
  <c r="F27" i="7"/>
  <c r="B28" i="7"/>
  <c r="E28" i="7"/>
  <c r="G28" i="7"/>
  <c r="B29" i="7"/>
  <c r="D29" i="7"/>
  <c r="F29" i="7"/>
  <c r="H29" i="7"/>
  <c r="B30" i="7"/>
  <c r="E25" i="7"/>
  <c r="F17" i="7"/>
  <c r="H21" i="7"/>
  <c r="C23" i="7"/>
  <c r="C24" i="7"/>
  <c r="H24" i="7"/>
  <c r="B26" i="7"/>
  <c r="F25" i="7"/>
  <c r="F23" i="7"/>
  <c r="B23" i="7"/>
  <c r="G18" i="7"/>
  <c r="E27" i="7"/>
  <c r="C28" i="7"/>
  <c r="H28" i="7"/>
  <c r="E29" i="7"/>
  <c r="G27" i="7"/>
  <c r="E30" i="7"/>
  <c r="C31" i="7"/>
  <c r="H31" i="7"/>
  <c r="F32" i="7"/>
  <c r="D33" i="7"/>
  <c r="B34" i="7"/>
  <c r="F34" i="7"/>
  <c r="C35" i="7"/>
  <c r="E35" i="7"/>
  <c r="B36" i="7"/>
  <c r="F36" i="7"/>
  <c r="C37" i="7"/>
  <c r="H17" i="7"/>
  <c r="E19" i="7"/>
  <c r="B37" i="7"/>
  <c r="C16" i="7"/>
  <c r="D30" i="7"/>
  <c r="G30" i="7"/>
  <c r="B31" i="7"/>
  <c r="E31" i="7"/>
  <c r="G31" i="7"/>
  <c r="B32" i="7"/>
  <c r="E32" i="7"/>
  <c r="G32" i="7"/>
  <c r="C33" i="7"/>
  <c r="E33" i="7"/>
  <c r="G33" i="7"/>
  <c r="C34" i="7"/>
  <c r="E34" i="7"/>
  <c r="G34" i="7"/>
  <c r="B35" i="7"/>
  <c r="F35" i="7"/>
  <c r="H35" i="7"/>
  <c r="C36" i="7"/>
  <c r="E36" i="7"/>
  <c r="G36" i="7"/>
  <c r="D37" i="7"/>
  <c r="D19" i="7"/>
  <c r="H34" i="7"/>
  <c r="H33" i="7"/>
  <c r="B33" i="7"/>
  <c r="C32" i="7"/>
  <c r="H25" i="7"/>
  <c r="D24" i="7"/>
  <c r="G22" i="7"/>
  <c r="F95" i="5"/>
  <c r="S45" i="6"/>
  <c r="S48" i="6"/>
  <c r="S46" i="6"/>
  <c r="S17" i="6"/>
  <c r="S50" i="6"/>
  <c r="S49" i="6"/>
  <c r="S15" i="6"/>
  <c r="S52" i="6"/>
  <c r="S47" i="6"/>
  <c r="S12" i="6"/>
  <c r="S51" i="6"/>
  <c r="G37" i="7"/>
  <c r="C40" i="7"/>
  <c r="F38" i="7"/>
  <c r="H39" i="7"/>
  <c r="H38" i="7"/>
  <c r="F37" i="7"/>
  <c r="B40" i="7"/>
  <c r="C39" i="7"/>
  <c r="G38" i="7"/>
  <c r="E38" i="7"/>
  <c r="B27" i="7"/>
  <c r="B39" i="7"/>
  <c r="C38" i="7"/>
  <c r="D38" i="7"/>
  <c r="F39" i="7"/>
  <c r="B38" i="7"/>
  <c r="E39" i="7"/>
  <c r="H37" i="7"/>
  <c r="G39" i="7"/>
  <c r="D40" i="7"/>
  <c r="H40" i="7"/>
  <c r="H26" i="7"/>
  <c r="B29" i="9" l="1"/>
  <c r="A26" i="12"/>
  <c r="B97" i="5"/>
  <c r="D97" i="5"/>
  <c r="E97" i="5"/>
  <c r="A98" i="5"/>
  <c r="B27" i="12"/>
  <c r="C26" i="12"/>
  <c r="D26" i="12"/>
  <c r="T6" i="6"/>
  <c r="T10" i="6"/>
  <c r="T13" i="6"/>
  <c r="T8" i="6"/>
  <c r="T14" i="6"/>
  <c r="T16" i="6"/>
  <c r="T18" i="6"/>
  <c r="T12" i="6"/>
  <c r="T15" i="6"/>
  <c r="T17" i="6"/>
  <c r="T5" i="6"/>
  <c r="T7" i="6"/>
  <c r="T11" i="6"/>
  <c r="T9" i="6"/>
  <c r="T4" i="6"/>
  <c r="F96" i="5"/>
  <c r="B30" i="9" l="1"/>
  <c r="A27" i="12"/>
  <c r="B98" i="5"/>
  <c r="D98" i="5"/>
  <c r="E98" i="5"/>
  <c r="A99" i="5"/>
  <c r="B28" i="12"/>
  <c r="C27" i="12"/>
  <c r="D27" i="12"/>
  <c r="S55" i="6"/>
  <c r="B26" i="3" s="1"/>
  <c r="F97" i="5"/>
  <c r="B31" i="9" l="1"/>
  <c r="A28" i="12"/>
  <c r="B99" i="5"/>
  <c r="D99" i="5"/>
  <c r="E99" i="5"/>
  <c r="A100" i="5"/>
  <c r="B29" i="12"/>
  <c r="C28" i="12"/>
  <c r="D28" i="12"/>
  <c r="F98" i="5"/>
  <c r="B32" i="9" l="1"/>
  <c r="A29" i="12"/>
  <c r="B100" i="5"/>
  <c r="D100" i="5"/>
  <c r="E100" i="5"/>
  <c r="A101" i="5"/>
  <c r="B30" i="12"/>
  <c r="D29" i="12"/>
  <c r="C29" i="12"/>
  <c r="F99" i="5"/>
  <c r="B33" i="9" l="1"/>
  <c r="A30" i="12"/>
  <c r="F55" i="2"/>
  <c r="B101" i="5"/>
  <c r="D101" i="5"/>
  <c r="E101" i="5"/>
  <c r="A102" i="5"/>
  <c r="B31" i="12"/>
  <c r="C30" i="12"/>
  <c r="D30" i="12"/>
  <c r="B107" i="5"/>
  <c r="F100" i="5"/>
  <c r="B34" i="9" l="1"/>
  <c r="A31" i="12"/>
  <c r="B109" i="5"/>
  <c r="B18" i="9"/>
  <c r="C18" i="9"/>
  <c r="C13" i="9"/>
  <c r="B106" i="5"/>
  <c r="B8" i="9"/>
  <c r="B17" i="3"/>
  <c r="C12" i="9"/>
  <c r="C19" i="9"/>
  <c r="B19" i="9"/>
  <c r="B111" i="5"/>
  <c r="D55" i="2"/>
  <c r="H55" i="2" s="1"/>
  <c r="I55" i="2" s="1"/>
  <c r="B102" i="5"/>
  <c r="A32" i="12" s="1"/>
  <c r="D102" i="5"/>
  <c r="E102" i="5"/>
  <c r="F102" i="5" s="1"/>
  <c r="B32" i="12"/>
  <c r="C31" i="12"/>
  <c r="D31" i="12"/>
  <c r="B112" i="5"/>
  <c r="B113" i="5" s="1"/>
  <c r="F101" i="5"/>
  <c r="B7" i="9"/>
  <c r="B108" i="5"/>
  <c r="B4" i="9"/>
  <c r="B110" i="5"/>
  <c r="B114" i="5"/>
  <c r="B5" i="9"/>
  <c r="B6" i="9" s="1"/>
  <c r="D18" i="9" l="1"/>
  <c r="C23" i="9"/>
  <c r="D23" i="9" s="1"/>
  <c r="C24" i="9"/>
  <c r="D24" i="9" s="1"/>
  <c r="C25" i="9"/>
  <c r="D25" i="9" s="1"/>
  <c r="C26" i="9"/>
  <c r="D26" i="9" s="1"/>
  <c r="C27" i="9"/>
  <c r="D27" i="9" s="1"/>
  <c r="C28" i="9"/>
  <c r="D28" i="9" s="1"/>
  <c r="C29" i="9"/>
  <c r="D29" i="9" s="1"/>
  <c r="C30" i="9"/>
  <c r="D30" i="9" s="1"/>
  <c r="C31" i="9"/>
  <c r="D31" i="9" s="1"/>
  <c r="C32" i="9"/>
  <c r="D32" i="9" s="1"/>
  <c r="C33" i="9"/>
  <c r="D33" i="9" s="1"/>
  <c r="C34" i="9"/>
  <c r="D34" i="9" s="1"/>
  <c r="B13" i="9"/>
  <c r="B14" i="9"/>
  <c r="D12" i="9"/>
  <c r="E12" i="9" s="1"/>
  <c r="F12" i="9" s="1"/>
  <c r="C14" i="9"/>
  <c r="D19" i="9"/>
  <c r="D32" i="12"/>
  <c r="C32" i="12"/>
  <c r="B115" i="5"/>
  <c r="B20" i="3"/>
  <c r="E19" i="9" l="1"/>
  <c r="E18" i="9"/>
  <c r="D13" i="9"/>
  <c r="F19" i="9"/>
  <c r="G19" i="9"/>
  <c r="F18" i="9"/>
  <c r="G18" i="9"/>
  <c r="B18" i="5"/>
  <c r="B17" i="5"/>
  <c r="B16" i="5"/>
</calcChain>
</file>

<file path=xl/sharedStrings.xml><?xml version="1.0" encoding="utf-8"?>
<sst xmlns="http://schemas.openxmlformats.org/spreadsheetml/2006/main" count="2934" uniqueCount="662">
  <si>
    <t>DATA INTELLIGENCE DASHBOARD</t>
  </si>
  <si>
    <t>KEY PERFORMANCE INDICATORS</t>
  </si>
  <si>
    <t>TOTAL REVENUE</t>
  </si>
  <si>
    <t>ORDERS</t>
  </si>
  <si>
    <t>UNITS SOLD</t>
  </si>
  <si>
    <t>AVG ORDER VALUE</t>
  </si>
  <si>
    <t>ACTIVE CUSTOMERS</t>
  </si>
  <si>
    <t>REPEAT RATE</t>
  </si>
  <si>
    <t>INTERACTIVE FILTERS: choose from the dropdowns, the charts below update instantly</t>
  </si>
  <si>
    <t>REGION</t>
  </si>
  <si>
    <t>CATEGORY</t>
  </si>
  <si>
    <t>PAYMENT METHOD</t>
  </si>
  <si>
    <t>CUSTOMER SEGMENT</t>
  </si>
  <si>
    <t>FROM DATE</t>
  </si>
  <si>
    <t>TO DATE</t>
  </si>
  <si>
    <t>All</t>
  </si>
  <si>
    <t>SELECTED REVENUE</t>
  </si>
  <si>
    <t>SELECTED ORDERS</t>
  </si>
  <si>
    <t>SELECTED UNITS</t>
  </si>
  <si>
    <t>AVG ORDER</t>
  </si>
  <si>
    <t>SHARE OF TOTAL</t>
  </si>
  <si>
    <t>VIEW</t>
  </si>
  <si>
    <t>TRENDS &amp; MIX (respond to the filters above)</t>
  </si>
  <si>
    <t>Monthly Revenue Trend</t>
  </si>
  <si>
    <t>Revenue by Region</t>
  </si>
  <si>
    <t>Revenue by Category</t>
  </si>
  <si>
    <t>Top Products by Revenue</t>
  </si>
  <si>
    <t>Orders by Payment Method</t>
  </si>
  <si>
    <t>PERFORMANCE VS TARGET  |  TOP 10 CUSTOMERS</t>
  </si>
  <si>
    <t>KPI</t>
  </si>
  <si>
    <t>Actual</t>
  </si>
  <si>
    <t>Target</t>
  </si>
  <si>
    <t>Variance</t>
  </si>
  <si>
    <t>Status</t>
  </si>
  <si>
    <t>Rank</t>
  </si>
  <si>
    <t>Customer</t>
  </si>
  <si>
    <t>Total Spend</t>
  </si>
  <si>
    <t>Share of revenue</t>
  </si>
  <si>
    <t>Total Revenue</t>
  </si>
  <si>
    <t>Orders</t>
  </si>
  <si>
    <t>Avg Order Value</t>
  </si>
  <si>
    <t>Repeat Rate</t>
  </si>
  <si>
    <t>Last full-month revenue</t>
  </si>
  <si>
    <t>Yellow targets are editable assumptions, not dataset values.</t>
  </si>
  <si>
    <t>Customer tiers</t>
  </si>
  <si>
    <t>High-Value</t>
  </si>
  <si>
    <t>Mid</t>
  </si>
  <si>
    <t>Low</t>
  </si>
  <si>
    <t>PIVOT TABLES &amp; PIVOT CHARTS: live PivotTables on the Raw Data table (use the ▼ report filters; right-click, Refresh after data changes)</t>
  </si>
  <si>
    <t>Orders by Payment</t>
  </si>
  <si>
    <t>Revenue by Month</t>
  </si>
  <si>
    <t>Revenue by Product</t>
  </si>
  <si>
    <t>Filter</t>
  </si>
  <si>
    <t>Category</t>
  </si>
  <si>
    <t>- all -</t>
  </si>
  <si>
    <t>Region</t>
  </si>
  <si>
    <t>Payment_Method</t>
  </si>
  <si>
    <t>Revenue ($)</t>
  </si>
  <si>
    <t>Orders</t>
  </si>
  <si>
    <t>Year_Month</t>
  </si>
  <si>
    <t>Product_Name</t>
  </si>
  <si>
    <t>Central</t>
  </si>
  <si>
    <t>Appliances</t>
  </si>
  <si>
    <t>Cash</t>
  </si>
  <si>
    <t>2024-04</t>
  </si>
  <si>
    <t>Blender</t>
  </si>
  <si>
    <t>East</t>
  </si>
  <si>
    <t>Electronics</t>
  </si>
  <si>
    <t>Credit Card</t>
  </si>
  <si>
    <t>2024-05</t>
  </si>
  <si>
    <t>Bookshelf</t>
  </si>
  <si>
    <t>North</t>
  </si>
  <si>
    <t>Furniture</t>
  </si>
  <si>
    <t>Debit Card</t>
  </si>
  <si>
    <t>2024-06</t>
  </si>
  <si>
    <t>Coffee Maker</t>
  </si>
  <si>
    <t>South</t>
  </si>
  <si>
    <t>Grand Total</t>
  </si>
  <si>
    <t>PayPal</t>
  </si>
  <si>
    <t>2024-07</t>
  </si>
  <si>
    <t>Desk</t>
  </si>
  <si>
    <t>West</t>
  </si>
  <si>
    <t>2024-08</t>
  </si>
  <si>
    <t>Headphones</t>
  </si>
  <si>
    <t>2024-09</t>
  </si>
  <si>
    <t>Keyboard</t>
  </si>
  <si>
    <t>2024-10</t>
  </si>
  <si>
    <t>Laptop</t>
  </si>
  <si>
    <t>2024-11</t>
  </si>
  <si>
    <t>Monitor</t>
  </si>
  <si>
    <t>2024-12</t>
  </si>
  <si>
    <t>Office Chair</t>
  </si>
  <si>
    <t>2025-01</t>
  </si>
  <si>
    <t>Smartphone</t>
  </si>
  <si>
    <t>2025-02</t>
  </si>
  <si>
    <t>2025-03</t>
  </si>
  <si>
    <t>2025-04</t>
  </si>
  <si>
    <t>Pivot Chart: Revenue by Region (Bar)</t>
  </si>
  <si>
    <t>Pivot Chart: Monthly Revenue (Line)</t>
  </si>
  <si>
    <t>Pivot Chart: Category Mix (Pie)</t>
  </si>
  <si>
    <t>Pivot charts are linked to the PivotTable cell ranges above. Filters in the INTERACTIVE FILTERS band drive the top charts; the ▼ report filters inside each PivotTable drive the pivot band.</t>
  </si>
  <si>
    <t>Final Report: Insights &amp; Storytelling</t>
  </si>
  <si>
    <t>Every sentence below is formula-driven and updates with the data. Recommendations are suggestions to refine.</t>
  </si>
  <si>
    <t>1. The big picture</t>
  </si>
  <si>
    <t>2. Who buys</t>
  </si>
  <si>
    <t>3. What sells</t>
  </si>
  <si>
    <t>4. Where</t>
  </si>
  <si>
    <t>5. When</t>
  </si>
  <si>
    <t>6. Trend (regression)</t>
  </si>
  <si>
    <t>7. How customers pay</t>
  </si>
  <si>
    <t>8. Cross-sell opportunity</t>
  </si>
  <si>
    <t>9. What-if</t>
  </si>
  <si>
    <t>10. Data-quality note</t>
  </si>
  <si>
    <t>Each Customer_ID appears with several different Regions, Segments and Customer_Since dates (up to 5 regions for one customer). These behave as per-transaction fields, so customer analysis groups by Customer_ID and regional analysis uses the transaction Region. Recommend fixing the source system.</t>
  </si>
  <si>
    <t>11. Recommendations</t>
  </si>
  <si>
    <t>Transaction_ID</t>
  </si>
  <si>
    <t>Date</t>
  </si>
  <si>
    <t>Customer_ID</t>
  </si>
  <si>
    <t>Customer_Name</t>
  </si>
  <si>
    <t>Product_ID</t>
  </si>
  <si>
    <t>Quantity</t>
  </si>
  <si>
    <t>Unit_Price</t>
  </si>
  <si>
    <t>Customer_Segment</t>
  </si>
  <si>
    <t>Customer_Since</t>
  </si>
  <si>
    <t>Total_Amount</t>
  </si>
  <si>
    <t>Check</t>
  </si>
  <si>
    <t>Month_End</t>
  </si>
  <si>
    <t>Month_Label</t>
  </si>
  <si>
    <t>Tenure_Years</t>
  </si>
  <si>
    <t>Tenure_Months</t>
  </si>
  <si>
    <t>Days_Since_Sale</t>
  </si>
  <si>
    <t>Initials</t>
  </si>
  <si>
    <t>Product_Code</t>
  </si>
  <si>
    <t>Order_Code</t>
  </si>
  <si>
    <t>Repeat_Flag</t>
  </si>
  <si>
    <t>Filter_Seq</t>
  </si>
  <si>
    <t>TRX0155</t>
  </si>
  <si>
    <t>CUST023</t>
  </si>
  <si>
    <t>Paul Baker</t>
  </si>
  <si>
    <t>P009</t>
  </si>
  <si>
    <t>Basic</t>
  </si>
  <si>
    <t>TRX0023</t>
  </si>
  <si>
    <t>CUST013</t>
  </si>
  <si>
    <t>Joseph Jackson</t>
  </si>
  <si>
    <t>Premium</t>
  </si>
  <si>
    <t>TRX0139</t>
  </si>
  <si>
    <t>CUST021</t>
  </si>
  <si>
    <t>Kevin Scott</t>
  </si>
  <si>
    <t>P005</t>
  </si>
  <si>
    <t>Standard</t>
  </si>
  <si>
    <t>TRX0043</t>
  </si>
  <si>
    <t>CUST046</t>
  </si>
  <si>
    <t>Kathleen Bennett</t>
  </si>
  <si>
    <t>TRX0212</t>
  </si>
  <si>
    <t>CUST003</t>
  </si>
  <si>
    <t>Michael Brown</t>
  </si>
  <si>
    <t>P008</t>
  </si>
  <si>
    <t>TRX0092</t>
  </si>
  <si>
    <t>CUST024</t>
  </si>
  <si>
    <t>Dorothy Nelson</t>
  </si>
  <si>
    <t>TRX0193</t>
  </si>
  <si>
    <t>P003</t>
  </si>
  <si>
    <t>TRX0240</t>
  </si>
  <si>
    <t>CUST017</t>
  </si>
  <si>
    <t>Charles Allen</t>
  </si>
  <si>
    <t>TRX0135</t>
  </si>
  <si>
    <t>CUST009</t>
  </si>
  <si>
    <t>Robert Thomas</t>
  </si>
  <si>
    <t>P001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</si>
  <si>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</si>
  <si>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</si>
  <si>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</si>
  <si>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</si>
  <si>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</si>
  <si>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</si>
  <si>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</si>
  <si>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</si>
  <si>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</si>
  <si>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</si>
  <si>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</si>
  <si>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</si>
  <si>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</si>
  <si>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</si>
  <si>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</si>
  <si>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</si>
  <si>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</si>
  <si>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</si>
  <si>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</si>
  <si>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</si>
  <si>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</si>
  <si>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</si>
  <si>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</si>
  <si>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</si>
  <si>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</si>
  <si>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</si>
  <si>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</si>
  <si>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</si>
  <si>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</si>
  <si>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</si>
  <si>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</si>
  <si>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</si>
  <si>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</si>
  <si>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</si>
  <si>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</si>
  <si>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</si>
  <si>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</si>
  <si>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</si>
  <si>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</si>
  <si>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</si>
  <si>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</si>
  <si>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</si>
  <si>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</si>
  <si>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</si>
  <si>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</si>
  <si>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</si>
  <si>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</si>
  <si>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</si>
  <si>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</si>
  <si>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TRX0004</t>
  </si>
  <si>
    <t>P010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</si>
  <si>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</si>
  <si>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</si>
  <si>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</si>
  <si>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</si>
  <si>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</si>
  <si>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</si>
  <si>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</si>
  <si>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</si>
  <si>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</si>
  <si>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</si>
  <si>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</si>
  <si>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</si>
  <si>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</si>
  <si>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</si>
  <si>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</si>
  <si>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</si>
  <si>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</si>
  <si>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</si>
  <si>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</si>
  <si>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</si>
  <si>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</si>
  <si>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</si>
  <si>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</si>
  <si>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</si>
  <si>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</si>
  <si>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</si>
  <si>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</si>
  <si>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</si>
  <si>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</si>
  <si>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</si>
  <si>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</si>
  <si>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</si>
  <si>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</si>
  <si>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</si>
  <si>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</si>
  <si>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</si>
  <si>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</si>
  <si>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</si>
  <si>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</si>
  <si>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</si>
  <si>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</si>
  <si>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</si>
  <si>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</si>
  <si>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</si>
  <si>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</si>
  <si>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</si>
  <si>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</si>
  <si>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</si>
  <si>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</si>
  <si>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</si>
  <si>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</si>
  <si>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</si>
  <si>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</si>
  <si>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</si>
  <si>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</si>
  <si>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</si>
  <si>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</si>
  <si>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</si>
  <si>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</si>
  <si>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</si>
  <si>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</si>
  <si>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</si>
  <si>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</si>
  <si>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</si>
  <si>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</si>
  <si>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</si>
  <si>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</si>
  <si>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</si>
  <si>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</si>
  <si>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</si>
  <si>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</si>
  <si>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</si>
  <si>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</si>
  <si>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</si>
  <si>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</si>
  <si>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</si>
  <si>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</si>
  <si>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</si>
  <si>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</si>
  <si>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</si>
  <si>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</si>
  <si>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</si>
  <si>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</si>
  <si>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</si>
  <si>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</si>
  <si>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</si>
  <si>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</si>
  <si>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</si>
  <si>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</si>
  <si>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</si>
  <si>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</si>
  <si>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</si>
  <si>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</si>
  <si>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</si>
  <si>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</si>
  <si>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</si>
  <si>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</si>
  <si>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</si>
  <si>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</si>
  <si>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</si>
  <si>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</si>
  <si>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</si>
  <si>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</si>
  <si>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</si>
  <si>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</si>
  <si>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</si>
  <si>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</si>
  <si>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</si>
  <si>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</si>
  <si>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</si>
  <si>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</si>
  <si>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</si>
  <si>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</si>
  <si>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</si>
  <si>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</si>
  <si>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</si>
  <si>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</si>
  <si>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</si>
  <si>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</si>
  <si>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</si>
  <si>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</si>
  <si>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</si>
  <si>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</si>
  <si>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</si>
  <si>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</si>
  <si>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</si>
  <si>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</si>
  <si>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</si>
  <si>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</si>
  <si>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</si>
  <si>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</si>
  <si>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</si>
  <si>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</si>
  <si>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</si>
  <si>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</si>
  <si>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</si>
  <si>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</si>
  <si>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</si>
  <si>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</si>
  <si>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</si>
  <si>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</si>
  <si>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</si>
  <si>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</si>
  <si>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</si>
  <si>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</si>
  <si>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</si>
  <si>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</si>
  <si>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</si>
  <si>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</si>
  <si>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</si>
  <si>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</si>
  <si>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</si>
  <si>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</si>
  <si>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</si>
  <si>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</si>
  <si>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</si>
  <si>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</si>
  <si>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</si>
  <si>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</si>
  <si>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</si>
  <si>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</si>
  <si>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</si>
  <si>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</si>
  <si>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</si>
  <si>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</si>
  <si>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</si>
  <si>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</si>
  <si>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</si>
  <si>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</si>
  <si>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</si>
  <si>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</si>
  <si>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</si>
  <si>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</si>
  <si>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</si>
  <si>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</si>
  <si>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</si>
  <si>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</si>
  <si>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</si>
  <si>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</si>
  <si>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</si>
  <si>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</si>
  <si>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</si>
  <si>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</si>
  <si>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</si>
  <si>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</si>
  <si>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</si>
  <si>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</si>
  <si>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</si>
  <si>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</si>
  <si>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</si>
  <si>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</si>
  <si>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</si>
  <si>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</si>
  <si>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</si>
  <si>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</si>
  <si>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</si>
  <si>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</si>
  <si>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</si>
  <si>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</si>
  <si>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</si>
  <si>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</si>
  <si>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</si>
  <si>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</si>
  <si>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</si>
  <si>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</si>
  <si>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</si>
  <si>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</si>
  <si>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</si>
  <si>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</si>
  <si>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</si>
  <si>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</si>
  <si>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</si>
  <si>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</si>
  <si>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</si>
  <si>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</si>
  <si>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</si>
  <si>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</si>
  <si>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</si>
  <si>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</si>
  <si>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</si>
  <si>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</si>
  <si>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</si>
  <si>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</si>
  <si>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</si>
  <si>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</si>
  <si>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</si>
  <si>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</si>
  <si>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</si>
  <si>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</si>
  <si>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</si>
  <si>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</si>
  <si>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</si>
  <si>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</si>
  <si>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</si>
  <si>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</si>
  <si>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</si>
  <si>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</si>
  <si>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</si>
  <si>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</si>
  <si>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</si>
  <si>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</si>
  <si>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</si>
  <si>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</si>
  <si>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</si>
  <si>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</si>
  <si>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</si>
  <si>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</si>
  <si>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</si>
  <si>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</si>
  <si>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</si>
  <si>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</si>
  <si>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</si>
  <si>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</si>
  <si>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</si>
  <si>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</si>
  <si>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</si>
  <si>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</si>
  <si>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</si>
  <si>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</si>
  <si>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</si>
  <si>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</si>
  <si>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</si>
  <si>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</si>
  <si>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</si>
  <si>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</si>
  <si>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</si>
  <si>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</si>
  <si>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</si>
  <si>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</si>
  <si>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</si>
  <si>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</si>
  <si>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</si>
  <si>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</si>
  <si>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</si>
  <si>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</si>
  <si>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</si>
  <si>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</si>
  <si>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</si>
  <si>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</si>
  <si>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Analysis</t>
  </si>
  <si>
    <t>1. Date &amp; Time Functions (TODAY, NOW, DATEDIF, EOMONTH)</t>
  </si>
  <si>
    <t>Today</t>
  </si>
  <si>
    <t>Now (date &amp; time)</t>
  </si>
  <si>
    <t>End of current month</t>
  </si>
  <si>
    <t>Start of current month</t>
  </si>
  <si>
    <t>First transaction</t>
  </si>
  <si>
    <t>Last transaction</t>
  </si>
  <si>
    <t>Dataset span (months, DATEDIF)</t>
  </si>
  <si>
    <t>Days since last transaction</t>
  </si>
  <si>
    <t>Avg customer tenure at purchase (years)</t>
  </si>
  <si>
    <t>2. Timestamp with NOW() + Iterative Calculation (circular on purpose; File &gt; Options &gt; Formulas &gt; Enable iterative calculation)</t>
  </si>
  <si>
    <t>Entry (type here)</t>
  </si>
  <si>
    <t>Timestamp (freezes once entry is typed)</t>
  </si>
  <si>
    <t>Order 1001</t>
  </si>
  <si>
    <t>Order 1002</t>
  </si>
  <si>
    <t>Order 1003</t>
  </si>
  <si>
    <t>Type anything in A19 or A20 and the timestamp appears and stays fixed.</t>
  </si>
  <si>
    <t>3. Headline KPIs</t>
  </si>
  <si>
    <t>Total Orders</t>
  </si>
  <si>
    <t>Units Sold</t>
  </si>
  <si>
    <t>Active Customers</t>
  </si>
  <si>
    <t>Repeat Customers (2+ orders)</t>
  </si>
  <si>
    <t>Top-5 customers: share of revenue</t>
  </si>
  <si>
    <t>4. Products (most frequently purchased, units, revenue)</t>
  </si>
  <si>
    <t>Units</t>
  </si>
  <si>
    <t>Revenue</t>
  </si>
  <si>
    <t>Share</t>
  </si>
  <si>
    <t>Rev_Rank</t>
  </si>
  <si>
    <t>Total</t>
  </si>
  <si>
    <t>Most frequently purchased product (by orders)</t>
  </si>
  <si>
    <t>Most units sold</t>
  </si>
  <si>
    <t>Highest-revenue product</t>
  </si>
  <si>
    <t>Most frequent buyer (by orders)</t>
  </si>
  <si>
    <t>Top customer by spend</t>
  </si>
  <si>
    <t>5. Regional Sales</t>
  </si>
  <si>
    <t>Avg_Order</t>
  </si>
  <si>
    <t>Top region</t>
  </si>
  <si>
    <t>Weakest region</t>
  </si>
  <si>
    <t>6. Category Sales</t>
  </si>
  <si>
    <t>7. Payment Methods</t>
  </si>
  <si>
    <t>Most used payment method</t>
  </si>
  <si>
    <t>8. Customer Segment (per-transaction label)</t>
  </si>
  <si>
    <t>Segment</t>
  </si>
  <si>
    <t>9. Monthly Trend &amp; Linear Regression (Revenue vs Month Index)</t>
  </si>
  <si>
    <t>Month</t>
  </si>
  <si>
    <t>Index</t>
  </si>
  <si>
    <t>MoM_%</t>
  </si>
  <si>
    <t>Last month is partial (data ends 11-Apr-2025). It is shown in charts but excluded from the regression (rows 1–12).</t>
  </si>
  <si>
    <t>Regression results (formula cross-check of Data Analysis ToolPak output)</t>
  </si>
  <si>
    <t>Observations (months)</t>
  </si>
  <si>
    <t>Slope (revenue change per month)</t>
  </si>
  <si>
    <t>Intercept</t>
  </si>
  <si>
    <t>R-squared</t>
  </si>
  <si>
    <t>Std error of estimate</t>
  </si>
  <si>
    <t>Std error of slope</t>
  </si>
  <si>
    <t>t-statistic</t>
  </si>
  <si>
    <t>p-value (two-tailed)</t>
  </si>
  <si>
    <t>Forecast for next month (index 13)</t>
  </si>
  <si>
    <t>Conclusion</t>
  </si>
  <si>
    <t>ToolPak: Data &gt; Data Analysis &gt; Regression; Y = Revenue (E), X = Index (C), first 12 rows. Results should match the above.</t>
  </si>
  <si>
    <t>10. What-If: Scenario Manager &amp; Goal Seek model</t>
  </si>
  <si>
    <t>Driver</t>
  </si>
  <si>
    <t>LIVE (Scenario Manager changes B)</t>
  </si>
  <si>
    <t>Base</t>
  </si>
  <si>
    <t>Optimistic</t>
  </si>
  <si>
    <t>Pessimistic</t>
  </si>
  <si>
    <t>Price change %</t>
  </si>
  <si>
    <t>Volume change %</t>
  </si>
  <si>
    <t>Discount %</t>
  </si>
  <si>
    <t>Baseline revenue</t>
  </si>
  <si>
    <t>Projected revenue</t>
  </si>
  <si>
    <t>Change vs baseline</t>
  </si>
  <si>
    <t>Target revenue uplift %</t>
  </si>
  <si>
    <t>Target revenue</t>
  </si>
  <si>
    <t>Price change needed (closed-form check)</t>
  </si>
  <si>
    <t>Goal Seek: Set cell B124 | To value = number in B128 | By changing B120. The answer should equal B129.</t>
  </si>
  <si>
    <t>Scenario Manager: changing cells B120:B122; add scenarios Base / Optimistic / Pessimistic using columns C–E; result cell B124.</t>
  </si>
  <si>
    <t>Customers – GroupBy by Customer_ID (SUMIFS / COUNTIFS)</t>
  </si>
  <si>
    <t>Tier: High-Value = top 20% of spend (80th percentile), Mid = 50th–80th, Low = below median. Grouping uses Customer_ID because Region/Segment vary per transaction.</t>
  </si>
  <si>
    <t>Top 10 Customers</t>
  </si>
  <si>
    <t>Compare Two Lists: Top-15 spenders vs Laptop buyers</t>
  </si>
  <si>
    <t>Total_Spend</t>
  </si>
  <si>
    <t>Spend_Rank</t>
  </si>
  <si>
    <t>Tier</t>
  </si>
  <si>
    <t>Laptop_Orders</t>
  </si>
  <si>
    <t>Laptop_Seq</t>
  </si>
  <si>
    <t>Repeat_Status</t>
  </si>
  <si>
    <t>Share_of_Revenue</t>
  </si>
  <si>
    <t>#</t>
  </si>
  <si>
    <t>List A: Top 15 by spend</t>
  </si>
  <si>
    <t>List B: Laptop buyers</t>
  </si>
  <si>
    <t>Matches (in both lists)</t>
  </si>
  <si>
    <t>Matches found</t>
  </si>
  <si>
    <t>FILTER demo – multi-value return</t>
  </si>
  <si>
    <t>Min Total_Amount ($)</t>
  </si>
  <si>
    <t>Matching rows</t>
  </si>
  <si>
    <t>Excel 365 one-cell equivalent (paste into any empty cell):</t>
  </si>
  <si>
    <t>FILTER formula:  =FILTER(tblSales[[Transaction_ID]:[Total_Amount]],(tblSales[Region]=B4)*(tblSales[Total_Amount]&gt;=B5),"No matching records")</t>
  </si>
  <si>
    <t>Product</t>
  </si>
  <si>
    <t>Qty</t>
  </si>
  <si>
    <t>Pivot Tables</t>
  </si>
  <si>
    <t>Seven live PivotTables built on the Raw Data table (A1:Z251). Use the report filters (▼) above each table; right-click any table &gt; Refresh after editing data.</t>
  </si>
  <si>
    <t>To add Slicers/Timeline: click a pivot &gt; PivotTable Analyze &gt; Insert Slicer (Region, Category, Customer_Segment, Payment_Method) &gt; Insert Timeline (Date), then Report Connections &gt; tick all pivots.</t>
  </si>
  <si>
    <t>Revenue by Customer (GroupBy)</t>
  </si>
  <si>
    <t>Region x Category crosstab</t>
  </si>
  <si>
    <t>SUMMARY OUTPUT: Regression (Y = Monthly Revenue, X = Month Index)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</si>
  <si>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</si>
  <si>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</si>
  <si>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</si>
  <si>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</si>
  <si>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</si>
  <si>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</si>
  <si>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</si>
  <si>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</si>
  <si>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</si>
  <si>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</si>
  <si>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</si>
  <si>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</si>
  <si>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</si>
  <si>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</si>
  <si>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</si>
  <si>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</si>
  <si>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</si>
  <si>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</si>
  <si>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</si>
  <si>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X Variable 1 (Month Index)</t>
  </si>
  <si>
    <t>RESIDUAL OUTPUT</t>
  </si>
  <si>
    <t>Observation</t>
  </si>
  <si>
    <t>Predicted Revenue</t>
  </si>
  <si>
    <t>Residuals</t>
  </si>
  <si>
    <t>Scenario Summary</t>
  </si>
  <si>
    <t>Current Values</t>
  </si>
  <si>
    <t>Base case</t>
  </si>
  <si>
    <t>Changing Cells:</t>
  </si>
  <si>
    <t xml:space="preserve">    Price change %</t>
  </si>
  <si>
    <t xml:space="preserve">    Volume change %</t>
  </si>
  <si>
    <t xml:space="preserve">    Discount %</t>
  </si>
  <si>
    <t>Result Cells:</t>
  </si>
  <si>
    <t xml:space="preserve">    Projected revenue</t>
  </si>
  <si>
    <t xml:space="preserve">    Change vs baseline</t>
  </si>
  <si>
    <t>Goal Seek result</t>
  </si>
  <si>
    <t>Target revenue uplift</t>
  </si>
  <si>
    <t>Price change that reaches target (Goal Seek: set Projected revenue to target by changing price change)</t>
  </si>
  <si>
    <t>Projected revenue at that price</t>
  </si>
  <si>
    <t>Difference to target (0 = solved)</t>
  </si>
  <si>
    <t>Visualizations</t>
  </si>
  <si>
    <t>Charts linked to the Analysis tables. Pivot charts and the interactive filtered charts are on the Dashboard.</t>
  </si>
  <si>
    <t>Revenue Share by Category</t>
  </si>
  <si>
    <t>Regions</t>
  </si>
  <si>
    <t>Categories</t>
  </si>
  <si>
    <t>Payment</t>
  </si>
  <si>
    <t>Segments</t>
  </si>
  <si>
    <t>Criteria (wildcard * = All)</t>
  </si>
  <si>
    <t>From date</t>
  </si>
  <si>
    <t>To date</t>
  </si>
  <si>
    <t>Rank #</t>
  </si>
  <si>
    <t>Product (sorted)</t>
  </si>
  <si>
    <t>Revenue (sorted)</t>
  </si>
  <si>
    <t>Selected-view KPIs</t>
  </si>
  <si>
    <t>Avg order</t>
  </si>
  <si>
    <t>Share of total revenue</t>
  </si>
  <si>
    <t>Filter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</si>
</sst>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$#,##0"/>
    <numFmt numFmtId="165" formatCode="0.0%"/>
    <numFmt numFmtId="166" formatCode="dd\ mmm\ yyyy"/>
    <numFmt numFmtId="167" formatCode="\+0.0%;\-0.0%;0.0%"/>
    <numFmt numFmtId="168" formatCode="0.0%&quot; of revenue&quot;"/>
    <numFmt numFmtId="169" formatCode="\$#,##0.00"/>
    <numFmt numFmtId="170" formatCode="yyyy\-mm\-dd"/>
    <numFmt numFmtId="171" formatCode="yyyy\-mm\-dd\ hh:mm:ss"/>
    <numFmt numFmtId="172" formatCode="0.0"/>
    <numFmt numFmtId="173" formatCode="0.000"/>
    <numFmt numFmtId="174" formatCode="0.0000"/>
  </numFmts>
  <fonts count="2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2"/>
      <color rgb="FFFFFFFF"/>
      <name val="Arial"/>
      <family val="2"/>
    </font>
    <font>
      <i/>
      <sz val="9"/>
      <color rgb="FF44546A"/>
      <name val="Arial"/>
      <family val="2"/>
    </font>
    <font>
      <b/>
      <sz val="11"/>
      <color rgb="FF1F3864"/>
      <name val="Arial"/>
      <family val="2"/>
    </font>
    <font>
      <b/>
      <sz val="9"/>
      <color rgb="FF7F7F7F"/>
      <name val="Arial"/>
      <family val="2"/>
    </font>
    <font>
      <b/>
      <sz val="24"/>
      <color rgb="FF1F3864"/>
      <name val="Arial"/>
      <family val="2"/>
    </font>
    <font>
      <b/>
      <sz val="8"/>
      <color rgb="FF7F7F7F"/>
      <name val="Arial"/>
      <family val="2"/>
    </font>
    <font>
      <b/>
      <sz val="11"/>
      <color rgb="FF0000FF"/>
      <name val="Arial"/>
      <family val="2"/>
    </font>
    <font>
      <b/>
      <sz val="14"/>
      <color rgb="FF2E75B6"/>
      <name val="Arial"/>
      <family val="2"/>
    </font>
    <font>
      <b/>
      <sz val="10"/>
      <color rgb="FF2E75B6"/>
      <name val="Arial"/>
      <family val="2"/>
    </font>
    <font>
      <b/>
      <sz val="9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b/>
      <sz val="11"/>
      <color rgb="FFFFFFFF"/>
      <name val="Arial"/>
      <family val="2"/>
    </font>
    <font>
      <sz val="9"/>
      <color rgb="FFC00000"/>
      <name val="Arial"/>
      <family val="2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9E2F3"/>
        <bgColor rgb="FFE7E6E6"/>
      </patternFill>
    </fill>
    <fill>
      <patternFill patternType="solid">
        <fgColor rgb="FFF3F7FC"/>
        <bgColor rgb="FFEAF0F9"/>
      </patternFill>
    </fill>
    <fill>
      <patternFill patternType="solid">
        <fgColor rgb="FFFFF2CC"/>
        <bgColor rgb="FFF3F7FC"/>
      </patternFill>
    </fill>
    <fill>
      <patternFill patternType="solid">
        <fgColor rgb="FFEAF0F9"/>
        <bgColor rgb="FFF3F7FC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3F7FC"/>
      </patternFill>
    </fill>
    <fill>
      <patternFill patternType="solid">
        <fgColor rgb="FF2F5597"/>
        <bgColor rgb="FF1F4E79"/>
      </patternFill>
    </fill>
    <fill>
      <patternFill patternType="solid">
        <fgColor rgb="FFFFFF00"/>
        <bgColor rgb="FFFFFF00"/>
      </patternFill>
    </fill>
  </fills>
  <borders count="3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E75B6"/>
      </bottom>
      <diagonal/>
    </border>
    <border>
      <left style="thick">
        <color rgb="FFFFFFFF"/>
      </left>
      <right style="thick">
        <color rgb="FFFFFFFF"/>
      </right>
      <top style="thick">
        <color rgb="FF1F4E79"/>
      </top>
      <bottom/>
      <diagonal/>
    </border>
    <border>
      <left style="thick">
        <color rgb="FFFFFFFF"/>
      </left>
      <right style="thick">
        <color rgb="FFFFFFFF"/>
      </right>
      <top style="thick">
        <color rgb="FF2E75B6"/>
      </top>
      <bottom/>
      <diagonal/>
    </border>
    <border>
      <left style="thick">
        <color rgb="FFFFFFFF"/>
      </left>
      <right style="thick">
        <color rgb="FFFFFFFF"/>
      </right>
      <top style="thick">
        <color rgb="FF9DC3E6"/>
      </top>
      <bottom/>
      <diagonal/>
    </border>
    <border>
      <left style="thick">
        <color rgb="FFFFFFFF"/>
      </left>
      <right style="thick">
        <color rgb="FFFFFFFF"/>
      </right>
      <top style="thick">
        <color rgb="FFED7D31"/>
      </top>
      <bottom/>
      <diagonal/>
    </border>
    <border>
      <left style="thick">
        <color rgb="FFFFFFFF"/>
      </left>
      <right style="thick">
        <color rgb="FFFFFFFF"/>
      </right>
      <top style="thick">
        <color rgb="FF70AD47"/>
      </top>
      <bottom/>
      <diagonal/>
    </border>
    <border>
      <left style="thick">
        <color rgb="FFFFFFFF"/>
      </left>
      <right style="thick">
        <color rgb="FFFFFFFF"/>
      </right>
      <top style="thick">
        <color rgb="FFFFC000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23" fillId="0" borderId="0" applyBorder="0" applyProtection="0"/>
    <xf numFmtId="0" fontId="23" fillId="0" borderId="0" applyBorder="0" applyProtection="0"/>
    <xf numFmtId="0" fontId="23" fillId="0" borderId="0" applyBorder="0" applyProtection="0"/>
    <xf numFmtId="0" fontId="23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47">
    <xf numFmtId="0" fontId="0" fillId="0" borderId="0" xfId="0"/>
    <xf numFmtId="0" fontId="11" fillId="4" borderId="9" xfId="0" applyFont="1" applyFill="1" applyBorder="1" applyAlignment="1">
      <alignment horizontal="center" vertical="center"/>
    </xf>
    <xf numFmtId="165" fontId="12" fillId="4" borderId="9" xfId="0" applyNumberFormat="1" applyFont="1" applyFill="1" applyBorder="1" applyAlignment="1">
      <alignment horizontal="center" vertical="center"/>
    </xf>
    <xf numFmtId="1" fontId="12" fillId="4" borderId="9" xfId="0" applyNumberFormat="1" applyFont="1" applyFill="1" applyBorder="1" applyAlignment="1">
      <alignment horizontal="center" vertical="center"/>
    </xf>
    <xf numFmtId="3" fontId="12" fillId="4" borderId="9" xfId="0" applyNumberFormat="1" applyFont="1" applyFill="1" applyBorder="1" applyAlignment="1">
      <alignment horizontal="center" vertical="center"/>
    </xf>
    <xf numFmtId="164" fontId="12" fillId="4" borderId="9" xfId="0" applyNumberFormat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9" fillId="3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5" fillId="0" borderId="0" xfId="0" applyFont="1"/>
    <xf numFmtId="0" fontId="17" fillId="2" borderId="0" xfId="0" applyFont="1" applyFill="1" applyAlignment="1">
      <alignment horizontal="center" vertical="center"/>
    </xf>
    <xf numFmtId="167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5" fillId="8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9" fillId="0" borderId="0" xfId="0" applyFont="1"/>
    <xf numFmtId="0" fontId="23" fillId="0" borderId="0" xfId="1"/>
    <xf numFmtId="0" fontId="0" fillId="0" borderId="10" xfId="0" applyBorder="1"/>
    <xf numFmtId="0" fontId="23" fillId="0" borderId="11" xfId="1" applyBorder="1"/>
    <xf numFmtId="0" fontId="23" fillId="0" borderId="12" xfId="2" applyBorder="1"/>
    <xf numFmtId="0" fontId="23" fillId="0" borderId="13" xfId="4" applyBorder="1">
      <alignment horizontal="left"/>
    </xf>
    <xf numFmtId="169" fontId="23" fillId="0" borderId="14" xfId="3" applyNumberFormat="1" applyBorder="1"/>
    <xf numFmtId="0" fontId="23" fillId="0" borderId="14" xfId="3" applyBorder="1"/>
    <xf numFmtId="0" fontId="23" fillId="0" borderId="15" xfId="4" applyBorder="1">
      <alignment horizontal="left"/>
    </xf>
    <xf numFmtId="169" fontId="23" fillId="0" borderId="16" xfId="3" applyNumberFormat="1" applyBorder="1"/>
    <xf numFmtId="0" fontId="23" fillId="0" borderId="16" xfId="3" applyBorder="1"/>
    <xf numFmtId="169" fontId="23" fillId="0" borderId="17" xfId="3" applyNumberFormat="1" applyBorder="1"/>
    <xf numFmtId="0" fontId="1" fillId="0" borderId="18" xfId="5" applyBorder="1">
      <alignment horizontal="left"/>
    </xf>
    <xf numFmtId="169" fontId="1" fillId="0" borderId="19" xfId="6" applyNumberFormat="1" applyBorder="1"/>
    <xf numFmtId="0" fontId="23" fillId="0" borderId="17" xfId="3" applyBorder="1"/>
    <xf numFmtId="0" fontId="1" fillId="0" borderId="19" xfId="6" applyBorder="1"/>
    <xf numFmtId="0" fontId="10" fillId="0" borderId="0" xfId="0" applyFont="1"/>
    <xf numFmtId="0" fontId="4" fillId="2" borderId="0" xfId="0" applyFont="1" applyFill="1" applyAlignment="1">
      <alignment horizontal="center" wrapText="1"/>
    </xf>
    <xf numFmtId="0" fontId="6" fillId="0" borderId="0" xfId="0" applyFont="1"/>
    <xf numFmtId="170" fontId="6" fillId="0" borderId="0" xfId="0" applyNumberFormat="1" applyFont="1"/>
    <xf numFmtId="169" fontId="6" fillId="0" borderId="0" xfId="0" applyNumberFormat="1" applyFont="1"/>
    <xf numFmtId="0" fontId="21" fillId="9" borderId="0" xfId="0" applyFont="1" applyFill="1"/>
    <xf numFmtId="0" fontId="0" fillId="9" borderId="0" xfId="0" applyFill="1"/>
    <xf numFmtId="171" fontId="6" fillId="0" borderId="0" xfId="0" applyNumberFormat="1" applyFont="1"/>
    <xf numFmtId="1" fontId="6" fillId="0" borderId="0" xfId="0" applyNumberFormat="1" applyFont="1"/>
    <xf numFmtId="3" fontId="6" fillId="0" borderId="0" xfId="0" applyNumberFormat="1" applyFont="1"/>
    <xf numFmtId="172" fontId="6" fillId="0" borderId="0" xfId="0" applyNumberFormat="1" applyFont="1"/>
    <xf numFmtId="0" fontId="18" fillId="0" borderId="0" xfId="0" applyFont="1"/>
    <xf numFmtId="164" fontId="5" fillId="0" borderId="0" xfId="0" applyNumberFormat="1" applyFont="1"/>
    <xf numFmtId="3" fontId="5" fillId="0" borderId="0" xfId="0" applyNumberFormat="1" applyFont="1"/>
    <xf numFmtId="169" fontId="5" fillId="0" borderId="0" xfId="0" applyNumberFormat="1" applyFont="1"/>
    <xf numFmtId="1" fontId="5" fillId="0" borderId="0" xfId="0" applyNumberFormat="1" applyFont="1"/>
    <xf numFmtId="165" fontId="5" fillId="0" borderId="0" xfId="0" applyNumberFormat="1" applyFont="1"/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70" fontId="6" fillId="0" borderId="1" xfId="0" applyNumberFormat="1" applyFont="1" applyBorder="1"/>
    <xf numFmtId="173" fontId="5" fillId="0" borderId="0" xfId="0" applyNumberFormat="1" applyFont="1"/>
    <xf numFmtId="49" fontId="5" fillId="0" borderId="0" xfId="0" applyNumberFormat="1" applyFont="1"/>
    <xf numFmtId="165" fontId="18" fillId="10" borderId="0" xfId="0" applyNumberFormat="1" applyFont="1" applyFill="1"/>
    <xf numFmtId="164" fontId="6" fillId="0" borderId="0" xfId="0" applyNumberFormat="1" applyFont="1"/>
    <xf numFmtId="165" fontId="6" fillId="0" borderId="0" xfId="0" applyNumberFormat="1" applyFont="1"/>
    <xf numFmtId="164" fontId="7" fillId="0" borderId="0" xfId="0" applyNumberFormat="1" applyFont="1"/>
    <xf numFmtId="10" fontId="5" fillId="0" borderId="0" xfId="0" applyNumberFormat="1" applyFont="1"/>
    <xf numFmtId="0" fontId="18" fillId="10" borderId="0" xfId="0" applyFont="1" applyFill="1"/>
    <xf numFmtId="164" fontId="18" fillId="10" borderId="0" xfId="0" applyNumberFormat="1" applyFont="1" applyFill="1"/>
    <xf numFmtId="0" fontId="22" fillId="0" borderId="0" xfId="0" applyFont="1"/>
    <xf numFmtId="169" fontId="6" fillId="0" borderId="1" xfId="0" applyNumberFormat="1" applyFont="1" applyBorder="1"/>
    <xf numFmtId="0" fontId="23" fillId="0" borderId="20" xfId="2" applyBorder="1"/>
    <xf numFmtId="0" fontId="23" fillId="0" borderId="21" xfId="1" applyBorder="1"/>
    <xf numFmtId="0" fontId="23" fillId="0" borderId="22" xfId="2" applyBorder="1"/>
    <xf numFmtId="0" fontId="23" fillId="0" borderId="23" xfId="2" applyBorder="1"/>
    <xf numFmtId="0" fontId="23" fillId="0" borderId="24" xfId="1" applyBorder="1"/>
    <xf numFmtId="0" fontId="23" fillId="0" borderId="25" xfId="4" applyBorder="1">
      <alignment horizontal="left"/>
    </xf>
    <xf numFmtId="0" fontId="23" fillId="0" borderId="26" xfId="4" applyBorder="1">
      <alignment horizontal="left"/>
    </xf>
    <xf numFmtId="0" fontId="1" fillId="0" borderId="27" xfId="5" applyBorder="1">
      <alignment horizontal="left"/>
    </xf>
    <xf numFmtId="169" fontId="23" fillId="0" borderId="28" xfId="3" applyNumberFormat="1" applyBorder="1"/>
    <xf numFmtId="169" fontId="23" fillId="0" borderId="29" xfId="3" applyNumberFormat="1" applyBorder="1"/>
    <xf numFmtId="169" fontId="23" fillId="0" borderId="30" xfId="3" applyNumberFormat="1" applyBorder="1"/>
    <xf numFmtId="169" fontId="1" fillId="0" borderId="14" xfId="6" applyNumberFormat="1" applyBorder="1"/>
    <xf numFmtId="169" fontId="23" fillId="0" borderId="31" xfId="3" applyNumberFormat="1" applyBorder="1"/>
    <xf numFmtId="169" fontId="23" fillId="0" borderId="0" xfId="3" applyNumberFormat="1"/>
    <xf numFmtId="169" fontId="23" fillId="0" borderId="32" xfId="3" applyNumberFormat="1" applyBorder="1"/>
    <xf numFmtId="169" fontId="1" fillId="0" borderId="16" xfId="6" applyNumberFormat="1" applyBorder="1"/>
    <xf numFmtId="169" fontId="23" fillId="0" borderId="25" xfId="3" applyNumberFormat="1" applyBorder="1"/>
    <xf numFmtId="169" fontId="23" fillId="0" borderId="26" xfId="3" applyNumberFormat="1" applyBorder="1"/>
    <xf numFmtId="169" fontId="23" fillId="0" borderId="33" xfId="3" applyNumberFormat="1" applyBorder="1"/>
    <xf numFmtId="169" fontId="1" fillId="0" borderId="17" xfId="6" applyNumberFormat="1" applyBorder="1"/>
    <xf numFmtId="169" fontId="1" fillId="0" borderId="34" xfId="6" applyNumberFormat="1" applyBorder="1"/>
    <xf numFmtId="169" fontId="1" fillId="0" borderId="35" xfId="6" applyNumberFormat="1" applyBorder="1"/>
    <xf numFmtId="169" fontId="1" fillId="0" borderId="36" xfId="6" applyNumberFormat="1" applyBorder="1"/>
    <xf numFmtId="0" fontId="21" fillId="0" borderId="0" xfId="0" applyFont="1"/>
    <xf numFmtId="174" fontId="6" fillId="0" borderId="1" xfId="0" applyNumberFormat="1" applyFont="1" applyBorder="1"/>
    <xf numFmtId="1" fontId="6" fillId="0" borderId="1" xfId="0" applyNumberFormat="1" applyFont="1" applyBorder="1"/>
    <xf numFmtId="0" fontId="4" fillId="0" borderId="1" xfId="0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0" fontId="21" fillId="0" borderId="1" xfId="0" applyFont="1" applyBorder="1"/>
    <xf numFmtId="167" fontId="6" fillId="0" borderId="1" xfId="0" applyNumberFormat="1" applyFont="1" applyBorder="1"/>
    <xf numFmtId="0" fontId="7" fillId="0" borderId="1" xfId="0" applyFont="1" applyBorder="1" applyAlignment="1">
      <alignment vertical="center" wrapText="1"/>
    </xf>
    <xf numFmtId="10" fontId="5" fillId="0" borderId="1" xfId="0" applyNumberFormat="1" applyFont="1" applyBorder="1"/>
    <xf numFmtId="169" fontId="5" fillId="0" borderId="1" xfId="0" applyNumberFormat="1" applyFont="1" applyBorder="1"/>
    <xf numFmtId="0" fontId="7" fillId="0" borderId="0" xfId="0" applyFont="1"/>
    <xf numFmtId="170" fontId="7" fillId="0" borderId="0" xfId="0" applyNumberFormat="1" applyFont="1"/>
    <xf numFmtId="169" fontId="7" fillId="0" borderId="0" xfId="0" applyNumberFormat="1" applyFont="1"/>
    <xf numFmtId="165" fontId="7" fillId="0" borderId="0" xfId="0" applyNumberFormat="1" applyFont="1"/>
    <xf numFmtId="0" fontId="13" fillId="0" borderId="0" xfId="0" applyFont="1" applyAlignment="1">
      <alignment horizontal="left" indent="1"/>
    </xf>
    <xf numFmtId="0" fontId="14" fillId="5" borderId="1" xfId="0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/>
    </xf>
    <xf numFmtId="164" fontId="15" fillId="6" borderId="0" xfId="0" applyNumberFormat="1" applyFont="1" applyFill="1" applyAlignment="1">
      <alignment horizontal="center" vertical="center"/>
    </xf>
    <xf numFmtId="3" fontId="15" fillId="6" borderId="0" xfId="0" applyNumberFormat="1" applyFont="1" applyFill="1" applyAlignment="1">
      <alignment horizontal="center" vertical="center"/>
    </xf>
    <xf numFmtId="165" fontId="15" fillId="6" borderId="0" xfId="0" applyNumberFormat="1" applyFont="1" applyFill="1" applyAlignment="1">
      <alignment horizontal="center" vertical="center"/>
    </xf>
    <xf numFmtId="49" fontId="16" fillId="6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indent="1"/>
    </xf>
    <xf numFmtId="0" fontId="17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indent="1"/>
    </xf>
    <xf numFmtId="164" fontId="6" fillId="4" borderId="0" xfId="0" applyNumberFormat="1" applyFont="1" applyFill="1" applyAlignment="1">
      <alignment horizontal="center" vertical="center"/>
    </xf>
    <xf numFmtId="164" fontId="18" fillId="5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indent="1"/>
    </xf>
    <xf numFmtId="164" fontId="5" fillId="4" borderId="0" xfId="0" applyNumberFormat="1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left" indent="1"/>
    </xf>
    <xf numFmtId="3" fontId="6" fillId="8" borderId="0" xfId="0" applyNumberFormat="1" applyFont="1" applyFill="1" applyAlignment="1">
      <alignment horizontal="center" vertical="center"/>
    </xf>
    <xf numFmtId="3" fontId="18" fillId="5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indent="1"/>
    </xf>
    <xf numFmtId="164" fontId="5" fillId="8" borderId="0" xfId="0" applyNumberFormat="1" applyFont="1" applyFill="1" applyAlignment="1">
      <alignment horizontal="center" vertical="center"/>
    </xf>
    <xf numFmtId="165" fontId="6" fillId="8" borderId="0" xfId="0" applyNumberFormat="1" applyFont="1" applyFill="1" applyAlignment="1">
      <alignment horizontal="center" vertical="center"/>
    </xf>
    <xf numFmtId="165" fontId="18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21" fillId="9" borderId="0" xfId="0" applyFont="1" applyFill="1"/>
    <xf numFmtId="0" fontId="21" fillId="9" borderId="1" xfId="0" applyFont="1" applyFill="1" applyBorder="1"/>
  </cellXfs>
  <cellStyles count="7">
    <cellStyle name="Normal" xfId="0" builtinId="0"/>
    <cellStyle name="Pivot Table Category" xfId="4" xr:uid="{00000000-0005-0000-0000-000009000000}"/>
    <cellStyle name="Pivot Table Corner" xfId="2" xr:uid="{00000000-0005-0000-0000-000007000000}"/>
    <cellStyle name="Pivot Table Field" xfId="1" xr:uid="{00000000-0005-0000-0000-000006000000}"/>
    <cellStyle name="Pivot Table Result" xfId="6" xr:uid="{00000000-0005-0000-0000-00000B000000}"/>
    <cellStyle name="Pivot Table Title" xfId="5" xr:uid="{00000000-0005-0000-0000-00000A000000}"/>
    <cellStyle name="Pivot Table Value" xfId="3" xr:uid="{00000000-0005-0000-0000-000008000000}"/>
  </cellStyles>
  <dxfs count="12"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</font>
    </dxf>
    <dxf>
      <font>
        <b/>
        <color rgb="FF00A650"/>
      </font>
    </dxf>
    <dxf>
      <font>
        <b/>
        <color rgb="FFC00000"/>
      </font>
    </dxf>
    <dxf>
      <font>
        <b/>
        <color rgb="FF00A650"/>
      </font>
    </dxf>
    <dxf>
      <font>
        <b/>
        <color rgb="FFC00000"/>
      </font>
    </dxf>
    <dxf>
      <font>
        <b/>
        <color rgb="FFC07000"/>
      </font>
    </dxf>
    <dxf>
      <font>
        <b/>
        <color rgb="FF00A650"/>
      </font>
    </dxf>
    <dxf>
      <font>
        <b/>
        <color rgb="FFC00000"/>
      </font>
    </dxf>
    <dxf>
      <font>
        <b/>
        <color rgb="FF00A650"/>
      </font>
    </dxf>
    <dxf>
      <font>
        <b/>
        <color rgb="FFC00000"/>
      </font>
    </dxf>
    <dxf>
      <font>
        <b/>
        <color rgb="FF00A65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C07000"/>
      <rgbColor rgb="FF800080"/>
      <rgbColor rgb="FF4F81BD"/>
      <rgbColor rgb="FFBFBFBF"/>
      <rgbColor rgb="FF7F7F7F"/>
      <rgbColor rgb="FF5B9BD5"/>
      <rgbColor rgb="FF993366"/>
      <rgbColor rgb="FFFFF2CC"/>
      <rgbColor rgb="FFEAF0F9"/>
      <rgbColor rgb="FF660066"/>
      <rgbColor rgb="FFFF8080"/>
      <rgbColor rgb="FF2F5597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C"/>
      <rgbColor rgb="FFC6EFCE"/>
      <rgbColor rgb="FFE7E6E6"/>
      <rgbColor rgb="FF9DC3E6"/>
      <rgbColor rgb="FFFF99CC"/>
      <rgbColor rgb="FFCC99FF"/>
      <rgbColor rgb="FFFFCC99"/>
      <rgbColor rgb="FF2E75B6"/>
      <rgbColor rgb="FF33CCCC"/>
      <rgbColor rgb="FF70AD47"/>
      <rgbColor rgb="FFFFC000"/>
      <rgbColor rgb="FFFF9900"/>
      <rgbColor rgb="FFED7D31"/>
      <rgbColor rgb="FF595959"/>
      <rgbColor rgb="FF878787"/>
      <rgbColor rgb="FF1F3864"/>
      <rgbColor rgb="FF00A650"/>
      <rgbColor rgb="FF003300"/>
      <rgbColor rgb="FF44546A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Calc!$A$20:$A$32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Calc!$C$20:$C$32</c:f>
              <c:numCache>
                <c:formatCode>\$#,##0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C-8D4C-9DD1-65BE185AF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292601"/>
        <c:axId val="28436819"/>
      </c:lineChart>
      <c:catAx>
        <c:axId val="162926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8436819"/>
        <c:crosses val="autoZero"/>
        <c:auto val="1"/>
        <c:lblAlgn val="ctr"/>
        <c:lblOffset val="100"/>
        <c:noMultiLvlLbl val="0"/>
      </c:catAx>
      <c:valAx>
        <c:axId val="28436819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62926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Calc!$A$36:$A$40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Calc!$B$36:$B$40</c:f>
              <c:numCache>
                <c:formatCode>\$#,##0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2-CF42-A88B-A08AA7F0F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38361392"/>
        <c:axId val="14881117"/>
      </c:barChart>
      <c:catAx>
        <c:axId val="3836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4881117"/>
        <c:crosses val="autoZero"/>
        <c:auto val="1"/>
        <c:lblAlgn val="ctr"/>
        <c:lblOffset val="100"/>
        <c:noMultiLvlLbl val="0"/>
      </c:catAx>
      <c:valAx>
        <c:axId val="14881117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83613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FAF-4B49-9B00-4B0D478BB27A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FAF-4B49-9B00-4B0D478BB27A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FAF-4B49-9B00-4B0D478BB27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FAF-4B49-9B00-4B0D478BB27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FAF-4B49-9B00-4B0D478BB27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FAF-4B49-9B00-4B0D478BB2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Calc!$A$44:$A$46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Calc!$B$44:$B$46</c:f>
              <c:numCache>
                <c:formatCode>\$#,##0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AF-4B49-9B00-4B0D478BB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Calc!$F$57:$F$63</c:f>
              <c:strCache>
                <c:ptCount val="7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Bookshelf</c:v>
                </c:pt>
                <c:pt idx="5">
                  <c:v>Office Chair</c:v>
                </c:pt>
                <c:pt idx="6">
                  <c:v>Keyboard</c:v>
                </c:pt>
              </c:strCache>
            </c:strRef>
          </c:cat>
          <c:val>
            <c:numRef>
              <c:f>Calc!$G$57:$G$63</c:f>
              <c:numCache>
                <c:formatCode>\$#,##0</c:formatCode>
                <c:ptCount val="7"/>
                <c:pt idx="0">
                  <c:v>67499.25</c:v>
                </c:pt>
                <c:pt idx="1">
                  <c:v>67199.039999999994</c:v>
                </c:pt>
                <c:pt idx="2">
                  <c:v>23399.22</c:v>
                </c:pt>
                <c:pt idx="3">
                  <c:v>21999.119999999999</c:v>
                </c:pt>
                <c:pt idx="4">
                  <c:v>15298.979999999994</c:v>
                </c:pt>
                <c:pt idx="5">
                  <c:v>10399.479999999998</c:v>
                </c:pt>
                <c:pt idx="6">
                  <c:v>8009.1099999999969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A-8E4F-A8D2-4C157253E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29545985"/>
        <c:axId val="69526706"/>
      </c:barChart>
      <c:catAx>
        <c:axId val="2954598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9526706"/>
        <c:crosses val="autoZero"/>
        <c:auto val="1"/>
        <c:lblAlgn val="ctr"/>
        <c:lblOffset val="100"/>
        <c:noMultiLvlLbl val="0"/>
      </c:catAx>
      <c:valAx>
        <c:axId val="69526706"/>
        <c:scaling>
          <c:orientation val="minMax"/>
        </c:scaling>
        <c:delete val="1"/>
        <c:axPos val="t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crossAx val="295459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F3C-7C41-A2BE-7FA3BABA9157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F3C-7C41-A2BE-7FA3BABA9157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F3C-7C41-A2BE-7FA3BABA9157}"/>
              </c:ext>
            </c:extLst>
          </c:dPt>
          <c:dPt>
            <c:idx val="3"/>
            <c:bubble3D val="0"/>
            <c:spPr>
              <a:solidFill>
                <a:srgbClr val="5B9B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F3C-7C41-A2BE-7FA3BABA915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F3C-7C41-A2BE-7FA3BABA915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F3C-7C41-A2BE-7FA3BABA915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F3C-7C41-A2BE-7FA3BABA915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F3C-7C41-A2BE-7FA3BABA91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Calc!$A$50:$A$53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Calc!$C$50:$C$53</c:f>
              <c:numCache>
                <c:formatCode>General</c:formatCode>
                <c:ptCount val="4"/>
                <c:pt idx="0">
                  <c:v>76</c:v>
                </c:pt>
                <c:pt idx="1">
                  <c:v>68</c:v>
                </c:pt>
                <c:pt idx="2">
                  <c:v>54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3C-7C41-A2BE-7FA3BABA9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Dashboard!$B$69:$B$73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Dashboard!$C$69:$C$73</c:f>
              <c:numCache>
                <c:formatCode>\$#,##0.00</c:formatCode>
                <c:ptCount val="5"/>
                <c:pt idx="0">
                  <c:v>41288.339999999997</c:v>
                </c:pt>
                <c:pt idx="1">
                  <c:v>59288.39</c:v>
                </c:pt>
                <c:pt idx="2">
                  <c:v>50808.31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0-9D43-86BD-72FC6EB2E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173808"/>
        <c:axId val="17660255"/>
      </c:barChart>
      <c:catAx>
        <c:axId val="11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7660255"/>
        <c:crosses val="autoZero"/>
        <c:auto val="1"/>
        <c:lblAlgn val="ctr"/>
        <c:lblOffset val="100"/>
        <c:noMultiLvlLbl val="0"/>
      </c:catAx>
      <c:valAx>
        <c:axId val="17660255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1738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ED7D31"/>
              </a:solidFill>
              <a:round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Dashboard!$K$69:$K$81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Dashboard!$L$69:$L$81</c:f>
              <c:numCache>
                <c:formatCode>\$#,##0.00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18479.400000000001</c:v>
                </c:pt>
                <c:pt idx="4">
                  <c:v>15759.43</c:v>
                </c:pt>
                <c:pt idx="5">
                  <c:v>12989.51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25799.15</c:v>
                </c:pt>
                <c:pt idx="10">
                  <c:v>16069.38</c:v>
                </c:pt>
                <c:pt idx="11">
                  <c:v>19899.38</c:v>
                </c:pt>
                <c:pt idx="12">
                  <c:v>6979.83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0-FE43-B851-2C1FC98CF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446876"/>
        <c:axId val="9938534"/>
      </c:lineChart>
      <c:catAx>
        <c:axId val="424468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9938534"/>
        <c:crosses val="autoZero"/>
        <c:auto val="1"/>
        <c:lblAlgn val="ctr"/>
        <c:lblOffset val="100"/>
        <c:noMultiLvlLbl val="0"/>
      </c:catAx>
      <c:valAx>
        <c:axId val="9938534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24468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50D-AD4C-95CD-FCE3121B85A5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50D-AD4C-95CD-FCE3121B85A5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50D-AD4C-95CD-FCE3121B85A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50D-AD4C-95CD-FCE3121B85A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50D-AD4C-95CD-FCE3121B85A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50D-AD4C-95CD-FCE3121B85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Dashboard!$E$69:$E$71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Dashboard!$F$69:$F$71</c:f>
              <c:numCache>
                <c:formatCode>\$#,##0.00</c:formatCode>
                <c:ptCount val="3"/>
                <c:pt idx="0">
                  <c:v>8338.74</c:v>
                </c:pt>
                <c:pt idx="1">
                  <c:v>171756.05</c:v>
                </c:pt>
                <c:pt idx="2">
                  <c:v>49097.68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0D-AD4C-95CD-FCE3121B8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Monthly revenue</c:v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Analysis!$C$90:$C$101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Analysis!$E$90:$E$101</c:f>
              <c:numCache>
                <c:formatCode>\$#,##0</c:formatCode>
                <c:ptCount val="12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53-ED4F-9E51-698EFF41C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5609"/>
        <c:axId val="75743919"/>
      </c:scatterChart>
      <c:valAx>
        <c:axId val="137156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5743919"/>
        <c:crosses val="autoZero"/>
        <c:crossBetween val="midCat"/>
      </c:valAx>
      <c:valAx>
        <c:axId val="75743919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371560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Residuals</c:v>
          </c:tx>
          <c:spPr>
            <a:ln w="47520">
              <a:noFill/>
            </a:ln>
          </c:spPr>
          <c:marker>
            <c:symbol val="diamond"/>
            <c:size val="9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Analysis!$C$90:$C$101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'Regression Output'!$D$23:$D$34</c:f>
              <c:numCache>
                <c:formatCode>\$#,##0.00</c:formatCode>
                <c:ptCount val="12"/>
                <c:pt idx="0">
                  <c:v>3278.8842307692357</c:v>
                </c:pt>
                <c:pt idx="1">
                  <c:v>-760.60017482517287</c:v>
                </c:pt>
                <c:pt idx="2">
                  <c:v>1339.9954195804239</c:v>
                </c:pt>
                <c:pt idx="3">
                  <c:v>360.44101398601197</c:v>
                </c:pt>
                <c:pt idx="4">
                  <c:v>-2519.033391608391</c:v>
                </c:pt>
                <c:pt idx="5">
                  <c:v>-5448.4577972027964</c:v>
                </c:pt>
                <c:pt idx="6">
                  <c:v>2012.047797202802</c:v>
                </c:pt>
                <c:pt idx="7">
                  <c:v>-6447.5366083916051</c:v>
                </c:pt>
                <c:pt idx="8">
                  <c:v>4122.8189860139864</c:v>
                </c:pt>
                <c:pt idx="9">
                  <c:v>6723.1645804195832</c:v>
                </c:pt>
                <c:pt idx="10">
                  <c:v>-3166.1098251748263</c:v>
                </c:pt>
                <c:pt idx="11">
                  <c:v>504.38576923076835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90-2C4E-BBA4-34D7CE9FE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74834"/>
        <c:axId val="96820277"/>
      </c:scatterChart>
      <c:valAx>
        <c:axId val="238748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96820277"/>
        <c:crosses val="autoZero"/>
        <c:crossBetween val="midCat"/>
      </c:valAx>
      <c:valAx>
        <c:axId val="96820277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Residual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387483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Analysis!$A$56:$A$60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Analysis!$C$56:$C$60</c:f>
              <c:numCache>
                <c:formatCode>\$#,##0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A-CD4B-BB5D-61427BA4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7906465"/>
        <c:axId val="69606957"/>
      </c:barChart>
      <c:catAx>
        <c:axId val="47906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9606957"/>
        <c:crosses val="autoZero"/>
        <c:auto val="1"/>
        <c:lblAlgn val="ctr"/>
        <c:lblOffset val="100"/>
        <c:noMultiLvlLbl val="0"/>
      </c:catAx>
      <c:valAx>
        <c:axId val="69606957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79064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Analysis!$B$90:$B$102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Analysis!$E$90:$E$102</c:f>
              <c:numCache>
                <c:formatCode>\$#,##0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1-794F-8FB6-498D3396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520291"/>
        <c:axId val="75581675"/>
      </c:lineChart>
      <c:catAx>
        <c:axId val="91520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5581675"/>
        <c:crosses val="autoZero"/>
        <c:auto val="1"/>
        <c:lblAlgn val="ctr"/>
        <c:lblOffset val="100"/>
        <c:noMultiLvlLbl val="0"/>
      </c:catAx>
      <c:valAx>
        <c:axId val="75581675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915202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C2C-D547-B351-864A207E468F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C2C-D547-B351-864A207E468F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C2C-D547-B351-864A207E468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C2C-D547-B351-864A207E468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C2C-D547-B351-864A207E468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C2C-D547-B351-864A207E4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Analysis!$A$67:$A$69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Analysis!$C$67:$C$69</c:f>
              <c:numCache>
                <c:formatCode>\$#,##0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2C-D547-B351-864A207E4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Analysis!$B$35:$B$44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Coffee Maker</c:v>
                </c:pt>
                <c:pt idx="4">
                  <c:v>Blender</c:v>
                </c:pt>
                <c:pt idx="5">
                  <c:v>Office Chair</c:v>
                </c:pt>
                <c:pt idx="6">
                  <c:v>Desk</c:v>
                </c:pt>
                <c:pt idx="7">
                  <c:v>Bookshelf</c:v>
                </c:pt>
                <c:pt idx="8">
                  <c:v>Monitor</c:v>
                </c:pt>
                <c:pt idx="9">
                  <c:v>Keyboard</c:v>
                </c:pt>
              </c:strCache>
            </c:strRef>
          </c:cat>
          <c:val>
            <c:numRef>
              <c:f>Analysis!$E$35:$E$44</c:f>
              <c:numCache>
                <c:formatCode>\$#,##0</c:formatCode>
                <c:ptCount val="10"/>
                <c:pt idx="0">
                  <c:v>67499.25</c:v>
                </c:pt>
                <c:pt idx="1">
                  <c:v>67199.039999999994</c:v>
                </c:pt>
                <c:pt idx="2">
                  <c:v>7049.5299999999988</c:v>
                </c:pt>
                <c:pt idx="3">
                  <c:v>3119.6099999999992</c:v>
                </c:pt>
                <c:pt idx="4">
                  <c:v>5219.1299999999974</c:v>
                </c:pt>
                <c:pt idx="5">
                  <c:v>10399.479999999998</c:v>
                </c:pt>
                <c:pt idx="6">
                  <c:v>23399.22</c:v>
                </c:pt>
                <c:pt idx="7">
                  <c:v>15298.979999999994</c:v>
                </c:pt>
                <c:pt idx="8">
                  <c:v>21999.119999999999</c:v>
                </c:pt>
                <c:pt idx="9">
                  <c:v>8009.1099999999969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3-8246-B373-3E4AB9186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90266"/>
        <c:axId val="76630624"/>
      </c:barChart>
      <c:catAx>
        <c:axId val="9026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6630624"/>
        <c:crosses val="autoZero"/>
        <c:auto val="1"/>
        <c:lblAlgn val="ctr"/>
        <c:lblOffset val="100"/>
        <c:noMultiLvlLbl val="0"/>
      </c:catAx>
      <c:valAx>
        <c:axId val="76630624"/>
        <c:scaling>
          <c:orientation val="minMax"/>
        </c:scaling>
        <c:delete val="1"/>
        <c:axPos val="t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crossAx val="902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684-F844-9C83-0A413FEA9056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684-F844-9C83-0A413FEA9056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684-F844-9C83-0A413FEA9056}"/>
              </c:ext>
            </c:extLst>
          </c:dPt>
          <c:dPt>
            <c:idx val="3"/>
            <c:bubble3D val="0"/>
            <c:spPr>
              <a:solidFill>
                <a:srgbClr val="5B9B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684-F844-9C83-0A413FEA905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684-F844-9C83-0A413FEA905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684-F844-9C83-0A413FEA905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684-F844-9C83-0A413FEA905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684-F844-9C83-0A413FEA90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Analysis!$A$74:$A$77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Analysis!$B$74:$B$77</c:f>
              <c:numCache>
                <c:formatCode>General</c:formatCode>
                <c:ptCount val="4"/>
                <c:pt idx="0">
                  <c:v>76</c:v>
                </c:pt>
                <c:pt idx="1">
                  <c:v>68</c:v>
                </c:pt>
                <c:pt idx="2">
                  <c:v>54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84-F844-9C83-0A413FEA9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9</xdr:col>
      <xdr:colOff>616680</xdr:colOff>
      <xdr:row>30</xdr:row>
      <xdr:rowOff>115200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0</xdr:rowOff>
    </xdr:from>
    <xdr:to>
      <xdr:col>18</xdr:col>
      <xdr:colOff>616680</xdr:colOff>
      <xdr:row>30</xdr:row>
      <xdr:rowOff>115200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740880</xdr:colOff>
      <xdr:row>46</xdr:row>
      <xdr:rowOff>114840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12</xdr:col>
      <xdr:colOff>740520</xdr:colOff>
      <xdr:row>46</xdr:row>
      <xdr:rowOff>114840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33</xdr:row>
      <xdr:rowOff>0</xdr:rowOff>
    </xdr:from>
    <xdr:to>
      <xdr:col>18</xdr:col>
      <xdr:colOff>740880</xdr:colOff>
      <xdr:row>46</xdr:row>
      <xdr:rowOff>114840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6</xdr:col>
      <xdr:colOff>740880</xdr:colOff>
      <xdr:row>96</xdr:row>
      <xdr:rowOff>115200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0</xdr:colOff>
      <xdr:row>83</xdr:row>
      <xdr:rowOff>0</xdr:rowOff>
    </xdr:from>
    <xdr:to>
      <xdr:col>12</xdr:col>
      <xdr:colOff>740520</xdr:colOff>
      <xdr:row>96</xdr:row>
      <xdr:rowOff>115200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0</xdr:colOff>
      <xdr:row>83</xdr:row>
      <xdr:rowOff>0</xdr:rowOff>
    </xdr:from>
    <xdr:to>
      <xdr:col>18</xdr:col>
      <xdr:colOff>740880</xdr:colOff>
      <xdr:row>96</xdr:row>
      <xdr:rowOff>115200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130680</xdr:rowOff>
    </xdr:from>
    <xdr:to>
      <xdr:col>17</xdr:col>
      <xdr:colOff>256320</xdr:colOff>
      <xdr:row>17</xdr:row>
      <xdr:rowOff>142200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131040</xdr:rowOff>
    </xdr:from>
    <xdr:to>
      <xdr:col>17</xdr:col>
      <xdr:colOff>256320</xdr:colOff>
      <xdr:row>35</xdr:row>
      <xdr:rowOff>220680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131040</xdr:rowOff>
    </xdr:from>
    <xdr:to>
      <xdr:col>9</xdr:col>
      <xdr:colOff>255960</xdr:colOff>
      <xdr:row>17</xdr:row>
      <xdr:rowOff>163440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131040</xdr:rowOff>
    </xdr:from>
    <xdr:to>
      <xdr:col>18</xdr:col>
      <xdr:colOff>256320</xdr:colOff>
      <xdr:row>17</xdr:row>
      <xdr:rowOff>163440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131040</xdr:rowOff>
    </xdr:from>
    <xdr:to>
      <xdr:col>9</xdr:col>
      <xdr:colOff>255960</xdr:colOff>
      <xdr:row>34</xdr:row>
      <xdr:rowOff>163800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20</xdr:row>
      <xdr:rowOff>131040</xdr:rowOff>
    </xdr:from>
    <xdr:to>
      <xdr:col>18</xdr:col>
      <xdr:colOff>256320</xdr:colOff>
      <xdr:row>34</xdr:row>
      <xdr:rowOff>163800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130680</xdr:rowOff>
    </xdr:from>
    <xdr:to>
      <xdr:col>9</xdr:col>
      <xdr:colOff>255960</xdr:colOff>
      <xdr:row>51</xdr:row>
      <xdr:rowOff>163440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50" xr:uid="{00000000-000A-0000-FFFF-FFFF01000000}">
  <cacheSource type="worksheet">
    <worksheetSource ref="A1:Z251" sheet="Raw Data"/>
  </cacheSource>
  <cacheFields count="26">
    <cacheField name="Transaction_ID" numFmtId="0">
      <sharedItems count="250">
        <s v="TRX0001"/>
        <s v="TRX0002"/>
        <s v="TRX0003"/>
        <s v="TRX0004"/>
        <s v="TRX0005"/>
        <s v="TRX0006"/>
        <s v="TRX0007"/>
        <s v="TRX0008"/>
        <s v="TRX0009"/>
        <s v="TRX0010"/>
        <s v="TRX0011"/>
        <s v="TRX0012"/>
        <s v="TRX0013"/>
        <s v="TRX0014"/>
        <s v="TRX0015"/>
        <s v="TRX0016"/>
        <s v="TRX0017"/>
        <s v="TRX0018"/>
        <s v="TRX0019"/>
        <s v="TRX0020"/>
        <s v="TRX0021"/>
        <s v="TRX0022"/>
        <s v="TRX0023"/>
        <s v="TRX0024"/>
        <s v="TRX0025"/>
        <s v="TRX0026"/>
        <s v="TRX0027"/>
        <s v="TRX0028"/>
        <s v="TRX0029"/>
        <s v="TRX0030"/>
        <s v="TRX0031"/>
        <s v="TRX0032"/>
        <s v="TRX0033"/>
        <s v="TRX0034"/>
        <s v="TRX0035"/>
        <s v="TRX0036"/>
        <s v="TRX0037"/>
        <s v="TRX0038"/>
        <s v="TRX0039"/>
        <s v="TRX0040"/>
        <s v="TRX0041"/>
        <s v="TRX0042"/>
        <s v="TRX0043"/>
        <s v="TRX0044"/>
        <s v="TRX0045"/>
        <s v="TRX0046"/>
        <s v="TRX0047"/>
        <s v="TRX0048"/>
        <s v="TRX0049"/>
        <s v="TRX0050"/>
        <s v="TRX0051"/>
        <s v="TRX0052"/>
        <s v="TRX0053"/>
        <s v="TRX0054"/>
        <s v="TRX0055"/>
        <s v="TRX0056"/>
        <s v="TRX0057"/>
        <s v="TRX0058"/>
        <s v="TRX0059"/>
        <s v="TRX0060"/>
        <s v="TRX0061"/>
        <s v="TRX0062"/>
        <s v="TRX0063"/>
        <s v="TRX0064"/>
        <s v="TRX0065"/>
        <s v="TRX0066"/>
        <s v="TRX0067"/>
        <s v="TRX0068"/>
        <s v="TRX0069"/>
        <s v="TRX0070"/>
        <s v="TRX0071"/>
        <s v="TRX0072"/>
        <s v="TRX0073"/>
        <s v="TRX0074"/>
        <s v="TRX0075"/>
        <s v="TRX0076"/>
        <s v="TRX0077"/>
        <s v="TRX0078"/>
        <s v="TRX0079"/>
        <s v="TRX0080"/>
        <s v="TRX0081"/>
        <s v="TRX0082"/>
        <s v="TRX0083"/>
        <s v="TRX0084"/>
        <s v="TRX0085"/>
        <s v="TRX0086"/>
        <s v="TRX0087"/>
        <s v="TRX0088"/>
        <s v="TRX0089"/>
        <s v="TRX0090"/>
        <s v="TRX0091"/>
        <s v="TRX0092"/>
        <s v="TRX0093"/>
        <s v="TRX0094"/>
        <s v="TRX0095"/>
        <s v="TRX0096"/>
        <s v="TRX0097"/>
        <s v="TRX0098"/>
        <s v="TRX0099"/>
        <s v="TRX0100"/>
        <s v="TRX0101"/>
        <s v="TRX0102"/>
        <s v="TRX0103"/>
        <s v="TRX0104"/>
        <s v="TRX0105"/>
        <s v="TRX0106"/>
        <s v="TRX0107"/>
        <s v="TRX0108"/>
        <s v="TRX0109"/>
        <s v="TRX0110"/>
        <s v="TRX0111"/>
        <s v="TRX0112"/>
        <s v="TRX0113"/>
        <s v="TRX0114"/>
        <s v="TRX0115"/>
        <s v="TRX0116"/>
        <s v="TRX0117"/>
        <s v="TRX0118"/>
        <s v="TRX0119"/>
        <s v="TRX0120"/>
        <s v="TRX0121"/>
        <s v="TRX0122"/>
        <s v="TRX0123"/>
        <s v="TRX0124"/>
        <s v="TRX0125"/>
        <s v="TRX0126"/>
        <s v="TRX0127"/>
        <s v="TRX0128"/>
        <s v="TRX0129"/>
        <s v="TRX0130"/>
        <s v="TRX0131"/>
        <s v="TRX0132"/>
        <s v="TRX0133"/>
        <s v="TRX0134"/>
        <s v="TRX0135"/>
        <s v="TRX0136"/>
        <s v="TRX0137"/>
        <s v="TRX0138"/>
        <s v="TRX0139"/>
        <s v="TRX0140"/>
        <s v="TRX0141"/>
        <s v="TRX0142"/>
        <s v="TRX0143"/>
        <s v="TRX0144"/>
        <s v="TRX0145"/>
        <s v="TRX0146"/>
        <s v="TRX0147"/>
        <s v="TRX0148"/>
        <s v="TRX0149"/>
        <s v="TRX0150"/>
        <s v="TRX0151"/>
        <s v="TRX0152"/>
        <s v="TRX0153"/>
        <s v="TRX0154"/>
        <s v="TRX0155"/>
        <s v="TRX0156"/>
        <s v="TRX0157"/>
        <s v="TRX0158"/>
        <s v="TRX0159"/>
        <s v="TRX0160"/>
        <s v="TRX0161"/>
        <s v="TRX0162"/>
        <s v="TRX0163"/>
        <s v="TRX0164"/>
        <s v="TRX0165"/>
        <s v="TRX0166"/>
        <s v="TRX0167"/>
        <s v="TRX0168"/>
        <s v="TRX0169"/>
        <s v="TRX0170"/>
        <s v="TRX0171"/>
        <s v="TRX0172"/>
        <s v="TRX0173"/>
        <s v="TRX0174"/>
        <s v="TRX0175"/>
        <s v="TRX0176"/>
        <s v="TRX0177"/>
        <s v="TRX0178"/>
        <s v="TRX0179"/>
        <s v="TRX0180"/>
        <s v="TRX0181"/>
        <s v="TRX0182"/>
        <s v="TRX0183"/>
        <s v="TRX0184"/>
        <s v="TRX0185"/>
        <s v="TRX0186"/>
        <s v="TRX0187"/>
        <s v="TRX0188"/>
        <s v="TRX0189"/>
        <s v="TRX0190"/>
        <s v="TRX0191"/>
        <s v="TRX0192"/>
        <s v="TRX0193"/>
        <s v="TRX0194"/>
        <s v="TRX0195"/>
        <s v="TRX0196"/>
        <s v="TRX0197"/>
        <s v="TRX0198"/>
        <s v="TRX0199"/>
        <s v="TRX0200"/>
        <s v="TRX0201"/>
        <s v="TRX0202"/>
        <s v="TRX0203"/>
        <s v="TRX0204"/>
        <s v="TRX0205"/>
        <s v="TRX0206"/>
        <s v="TRX0207"/>
        <s v="TRX0208"/>
        <s v="TRX0209"/>
        <s v="TRX0210"/>
        <s v="TRX0211"/>
        <s v="TRX0212"/>
        <s v="TRX0213"/>
        <s v="TRX0214"/>
        <s v="TRX0215"/>
        <s v="TRX0216"/>
        <s v="TRX0217"/>
        <s v="TRX0218"/>
        <s v="TRX0219"/>
        <s v="TRX0220"/>
        <s v="TRX0221"/>
        <s v="TRX0222"/>
        <s v="TRX0223"/>
        <s v="TRX0224"/>
        <s v="TRX0225"/>
        <s v="TRX0226"/>
        <s v="TRX0227"/>
        <s v="TRX0228"/>
        <s v="TRX0229"/>
        <s v="TRX0230"/>
        <s v="TRX0231"/>
        <s v="TRX0232"/>
        <s v="TRX0233"/>
        <s v="TRX0234"/>
        <s v="TRX0235"/>
        <s v="TRX0236"/>
        <s v="TRX0237"/>
        <s v="TRX0238"/>
        <s v="TRX0239"/>
        <s v="TRX0240"/>
        <s v="TRX0241"/>
        <s v="TRX0242"/>
        <s v="TRX0243"/>
        <s v="TRX0244"/>
        <s v="TRX0245"/>
        <s v="TRX0246"/>
        <s v="TRX0247"/>
        <s v="TRX0248"/>
        <s v="TRX0249"/>
        <s v="TRX0250"/>
      </sharedItems>
    </cacheField>
    <cacheField name="Date" numFmtId="0">
      <sharedItems containsSemiMixedTypes="0" containsNonDate="0" containsDate="1" containsString="0" minDate="2024-04-11T00:00:00" maxDate="2025-04-11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</cacheField>
    <cacheField name="Customer_ID" numFmtId="0">
      <sharedItems count="5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</sharedItems>
    </cacheField>
    <cacheField name="Customer_Name" numFmtId="0">
      <sharedItems count="50">
        <s v="Arthur Edwards"/>
        <s v="Barbara Young"/>
        <s v="Betty Campbell"/>
        <s v="Carol Evans"/>
        <s v="Charles Allen"/>
        <s v="Cynthia Price"/>
        <s v="Daniel King"/>
        <s v="David Martinez"/>
        <s v="Dennis Gray"/>
        <s v="Dorothy Nelson"/>
        <s v="Douglas Watson"/>
        <s v="Edward Mitchell"/>
        <s v="Elizabeth Hall"/>
        <s v="Emma Wilson"/>
        <s v="Frank Torres"/>
        <s v="George Adams"/>
        <s v="Gerald Murphy"/>
        <s v="Harry Morgan"/>
        <s v="Helen Roberts"/>
        <s v="James Johnson"/>
        <s v="Jennifer Taylor"/>
        <s v="John Smith"/>
        <s v="Joseph Jackson"/>
        <s v="Julie Foster"/>
        <s v="Karen Hill"/>
        <s v="Kathleen Bennett"/>
        <s v="Kevin Scott"/>
        <s v="Lawrence Reed"/>
        <s v="Linda Martin"/>
        <s v="Lisa Anderson"/>
        <s v="Margaret Wright"/>
        <s v="Maria Garcia"/>
        <s v="Mark Carter"/>
        <s v="Michael Brown"/>
        <s v="Michelle Rogers"/>
        <s v="Nancy Collins"/>
        <s v="Patricia Moore"/>
        <s v="Paul Baker"/>
        <s v="Peter Richardson"/>
        <s v="Raymond Ross"/>
        <s v="Richard Lee"/>
        <s v="Robert Thomas"/>
        <s v="Ruth Brooks"/>
        <s v="Sandra Phillips"/>
        <s v="Sarah Davis"/>
        <s v="Sharon Butler"/>
        <s v="Steven Turner"/>
        <s v="Susan Green"/>
        <s v="Virginia Sanders"/>
        <s v="William White"/>
      </sharedItems>
    </cacheField>
    <cacheField name="Product_ID" numFmtId="0">
      <sharedItems count="10">
        <s v="P001"/>
        <s v="P002"/>
        <s v="P003"/>
        <s v="P004"/>
        <s v="P005"/>
        <s v="P006"/>
        <s v="P007"/>
        <s v="P008"/>
        <s v="P009"/>
        <s v="P010"/>
      </sharedItems>
    </cacheField>
    <cacheField name="Product_Name" numFmtId="0">
      <sharedItems count="10">
        <s v="Blender"/>
        <s v="Bookshelf"/>
        <s v="Coffee Maker"/>
        <s v="Desk"/>
        <s v="Headphones"/>
        <s v="Keyboard"/>
        <s v="Laptop"/>
        <s v="Monitor"/>
        <s v="Office Chair"/>
        <s v="Smartphone"/>
      </sharedItems>
    </cacheField>
    <cacheField name="Category" numFmtId="0">
      <sharedItems count="3">
        <s v="Appliances"/>
        <s v="Electronics"/>
        <s v="Furniture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Unit_Price" numFmtId="0">
      <sharedItems containsSemiMixedTypes="0" containsString="0" containsNumber="1" minValue="59.99" maxValue="899.99" count="9">
        <n v="59.99"/>
        <n v="79.989999999999995"/>
        <n v="89.99"/>
        <n v="149.99"/>
        <n v="199.99"/>
        <n v="249.99"/>
        <n v="299.99"/>
        <n v="699.99"/>
        <n v="899.99"/>
      </sharedItems>
    </cacheField>
    <cacheField name="Payment_Method" numFmtId="0">
      <sharedItems count="4">
        <s v="Cash"/>
        <s v="Credit Card"/>
        <s v="Debit Card"/>
        <s v="PayPal"/>
      </sharedItems>
    </cacheField>
    <cacheField name="Region" numFmtId="0">
      <sharedItems count="5">
        <s v="Central"/>
        <s v="East"/>
        <s v="North"/>
        <s v="South"/>
        <s v="West"/>
      </sharedItems>
    </cacheField>
    <cacheField name="Customer_Segment" numFmtId="0">
      <sharedItems count="3">
        <s v="Basic"/>
        <s v="Premium"/>
        <s v="Standard"/>
      </sharedItems>
    </cacheField>
    <cacheField name="Customer_Since" numFmtId="0">
      <sharedItems containsSemiMixedTypes="0" containsNonDate="0" containsDate="1" containsString="0" minDate="2021-07-18T00:00:00" maxDate="2024-04-11T00:00:00" count="223">
        <d v="2021-07-18T00:00:00"/>
        <d v="2021-07-19T00:00:00"/>
        <d v="2021-07-29T00:00:00"/>
        <d v="2021-07-30T00:00:00"/>
        <d v="2021-08-01T00:00:00"/>
        <d v="2021-08-04T00:00:00"/>
        <d v="2021-08-10T00:00:00"/>
        <d v="2021-08-12T00:00:00"/>
        <d v="2021-08-13T00:00:00"/>
        <d v="2021-08-14T00:00:00"/>
        <d v="2021-08-17T00:00:00"/>
        <d v="2021-08-19T00:00:00"/>
        <d v="2021-08-23T00:00:00"/>
        <d v="2021-08-27T00:00:00"/>
        <d v="2021-08-28T00:00:00"/>
        <d v="2021-08-30T00:00:00"/>
        <d v="2021-09-07T00:00:00"/>
        <d v="2021-09-19T00:00:00"/>
        <d v="2021-09-21T00:00:00"/>
        <d v="2021-09-26T00:00:00"/>
        <d v="2021-09-29T00:00:00"/>
        <d v="2021-10-02T00:00:00"/>
        <d v="2021-10-04T00:00:00"/>
        <d v="2021-10-06T00:00:00"/>
        <d v="2021-10-13T00:00:00"/>
        <d v="2021-10-16T00:00:00"/>
        <d v="2021-10-25T00:00:00"/>
        <d v="2021-10-28T00:00:00"/>
        <d v="2021-11-02T00:00:00"/>
        <d v="2021-11-09T00:00:00"/>
        <d v="2021-11-11T00:00:00"/>
        <d v="2021-11-22T00:00:00"/>
        <d v="2021-11-23T00:00:00"/>
        <d v="2021-11-25T00:00:00"/>
        <d v="2021-11-26T00:00:00"/>
        <d v="2021-11-30T00:00:00"/>
        <d v="2021-12-06T00:00:00"/>
        <d v="2021-12-10T00:00:00"/>
        <d v="2021-12-11T00:00:00"/>
        <d v="2021-12-12T00:00:00"/>
        <d v="2021-12-14T00:00:00"/>
        <d v="2021-12-21T00:00:00"/>
        <d v="2021-12-30T00:00:00"/>
        <d v="2022-01-03T00:00:00"/>
        <d v="2022-01-08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21T00:00:00"/>
        <d v="2022-01-22T00:00:00"/>
        <d v="2022-01-26T00:00:00"/>
        <d v="2022-01-30T00:00:00"/>
        <d v="2022-02-10T00:00:00"/>
        <d v="2022-02-19T00:00:00"/>
        <d v="2022-02-21T00:00:00"/>
        <d v="2022-02-23T00:00:00"/>
        <d v="2022-02-26T00:00:00"/>
        <d v="2022-03-05T00:00:00"/>
        <d v="2022-03-12T00:00:00"/>
        <d v="2022-03-13T00:00:00"/>
        <d v="2022-03-15T00:00:00"/>
        <d v="2022-03-21T00:00:00"/>
        <d v="2022-03-22T00:00:00"/>
        <d v="2022-03-25T00:00:00"/>
        <d v="2022-04-08T00:00:00"/>
        <d v="2022-04-16T00:00:00"/>
        <d v="2022-04-30T00:00:00"/>
        <d v="2022-05-04T00:00:00"/>
        <d v="2022-05-11T00:00:00"/>
        <d v="2022-05-12T00:00:00"/>
        <d v="2022-05-13T00:00:00"/>
        <d v="2022-05-22T00:00:00"/>
        <d v="2022-05-23T00:00:00"/>
        <d v="2022-05-26T00:00:00"/>
        <d v="2022-06-04T00:00:00"/>
        <d v="2022-06-05T00:00:00"/>
        <d v="2022-06-09T00:00:00"/>
        <d v="2022-06-12T00:00:00"/>
        <d v="2022-06-16T00:00:00"/>
        <d v="2022-06-20T00:00:00"/>
        <d v="2022-06-22T00:00:00"/>
        <d v="2022-06-23T00:00:00"/>
        <d v="2022-07-04T00:00:00"/>
        <d v="2022-07-06T00:00:00"/>
        <d v="2022-07-10T00:00:00"/>
        <d v="2022-07-18T00:00:00"/>
        <d v="2022-07-27T00:00:00"/>
        <d v="2022-07-28T00:00:00"/>
        <d v="2022-07-29T00:00:00"/>
        <d v="2022-08-04T00:00:00"/>
        <d v="2022-08-06T00:00:00"/>
        <d v="2022-08-08T00:00:00"/>
        <d v="2022-08-09T00:00:00"/>
        <d v="2022-08-29T00:00:00"/>
        <d v="2022-09-02T00:00:00"/>
        <d v="2022-09-16T00:00:00"/>
        <d v="2022-09-19T00:00:00"/>
        <d v="2022-09-20T00:00:00"/>
        <d v="2022-09-24T00:00:00"/>
        <d v="2022-09-26T00:00:00"/>
        <d v="2022-10-14T00:00:00"/>
        <d v="2022-10-17T00:00:00"/>
        <d v="2022-11-02T00:00:00"/>
        <d v="2022-11-04T00:00:00"/>
        <d v="2022-11-05T00:00:00"/>
        <d v="2022-11-08T00:00:00"/>
        <d v="2022-11-11T00:00:00"/>
        <d v="2022-11-13T00:00:00"/>
        <d v="2022-11-16T00:00:00"/>
        <d v="2022-11-21T00:00:00"/>
        <d v="2022-11-26T00:00:00"/>
        <d v="2022-12-04T00:00:00"/>
        <d v="2022-12-06T00:00:00"/>
        <d v="2022-12-14T00:00:00"/>
        <d v="2022-12-18T00:00:00"/>
        <d v="2022-12-21T00:00:00"/>
        <d v="2022-12-22T00:00:00"/>
        <d v="2022-12-24T00:00:00"/>
        <d v="2022-12-25T00:00:00"/>
        <d v="2022-12-26T00:00:00"/>
        <d v="2023-01-08T00:00:00"/>
        <d v="2023-01-14T00:00:00"/>
        <d v="2023-01-18T00:00:00"/>
        <d v="2023-01-26T00:00:00"/>
        <d v="2023-01-27T00:00:00"/>
        <d v="2023-02-02T00:00:00"/>
        <d v="2023-02-08T00:00:00"/>
        <d v="2023-02-15T00:00:00"/>
        <d v="2023-02-17T00:00:00"/>
        <d v="2023-02-18T00:00:00"/>
        <d v="2023-02-19T00:00:00"/>
        <d v="2023-02-24T00:00:00"/>
        <d v="2023-02-25T00:00:00"/>
        <d v="2023-03-06T00:00:00"/>
        <d v="2023-03-07T00:00:00"/>
        <d v="2023-03-08T00:00:00"/>
        <d v="2023-03-14T00:00:00"/>
        <d v="2023-03-22T00:00:00"/>
        <d v="2023-03-23T00:00:00"/>
        <d v="2023-03-27T00:00:00"/>
        <d v="2023-04-29T00:00:00"/>
        <d v="2023-04-30T00:00:00"/>
        <d v="2023-05-04T00:00:00"/>
        <d v="2023-05-06T00:00:00"/>
        <d v="2023-05-22T00:00:00"/>
        <d v="2023-05-24T00:00:00"/>
        <d v="2023-05-30T00:00:00"/>
        <d v="2023-06-11T00:00:00"/>
        <d v="2023-06-21T00:00:00"/>
        <d v="2023-06-24T00:00:00"/>
        <d v="2023-06-25T00:00:00"/>
        <d v="2023-06-26T00:00:00"/>
        <d v="2023-06-28T00:00:00"/>
        <d v="2023-07-07T00:00:00"/>
        <d v="2023-07-10T00:00:00"/>
        <d v="2023-07-13T00:00:00"/>
        <d v="2023-07-20T00:00:00"/>
        <d v="2023-07-23T00:00:00"/>
        <d v="2023-08-02T00:00:00"/>
        <d v="2023-08-03T00:00:00"/>
        <d v="2023-08-04T00:00:00"/>
        <d v="2023-08-14T00:00:00"/>
        <d v="2023-08-19T00:00:00"/>
        <d v="2023-08-23T00:00:00"/>
        <d v="2023-08-26T00:00:00"/>
        <d v="2023-08-29T00:00:00"/>
        <d v="2023-08-30T00:00:00"/>
        <d v="2023-09-02T00:00:00"/>
        <d v="2023-09-05T00:00:00"/>
        <d v="2023-09-08T00:00:00"/>
        <d v="2023-09-10T00:00:00"/>
        <d v="2023-09-21T00:00:00"/>
        <d v="2023-09-22T00:00:00"/>
        <d v="2023-09-24T00:00:00"/>
        <d v="2023-09-30T00:00:00"/>
        <d v="2023-10-01T00:00:00"/>
        <d v="2023-10-05T00:00:00"/>
        <d v="2023-10-08T00:00:00"/>
        <d v="2023-10-13T00:00:00"/>
        <d v="2023-10-15T00:00:00"/>
        <d v="2023-10-16T00:00:00"/>
        <d v="2023-10-18T00:00:00"/>
        <d v="2023-10-25T00:00:00"/>
        <d v="2023-11-03T00:00:00"/>
        <d v="2023-11-04T00:00:00"/>
        <d v="2023-11-09T00:00:00"/>
        <d v="2023-11-23T00:00:00"/>
        <d v="2023-11-24T00:00:00"/>
        <d v="2023-11-27T00:00:00"/>
        <d v="2023-11-30T00:00:00"/>
        <d v="2023-12-02T00:00:00"/>
        <d v="2023-12-03T00:00:00"/>
        <d v="2023-12-14T00:00:00"/>
        <d v="2023-12-15T00:00:00"/>
        <d v="2023-12-18T00:00:00"/>
        <d v="2023-12-20T00:00:00"/>
        <d v="2023-12-21T00:00:00"/>
        <d v="2023-12-28T00:00:00"/>
        <d v="2023-12-31T00:00:00"/>
        <d v="2024-01-01T00:00:00"/>
        <d v="2024-01-04T00:00:00"/>
        <d v="2024-01-08T00:00:00"/>
        <d v="2024-01-16T00:00:00"/>
        <d v="2024-01-19T00:00:00"/>
        <d v="2024-01-31T00:00:00"/>
        <d v="2024-02-05T00:00:00"/>
        <d v="2024-02-08T00:00:00"/>
        <d v="2024-02-10T00:00:00"/>
        <d v="2024-02-24T00:00:00"/>
        <d v="2024-02-25T00:00:00"/>
        <d v="2024-02-29T00:00:00"/>
        <d v="2024-03-01T00:00:00"/>
        <d v="2024-03-18T00:00:00"/>
        <d v="2024-03-23T00:00:00"/>
        <d v="2024-04-03T00:00:00"/>
        <d v="2024-04-07T00:00:00"/>
        <d v="2024-04-08T00:00:00"/>
        <d v="2024-04-11T00:00:00"/>
      </sharedItems>
    </cacheField>
    <cacheField name="Total_Amount" numFmtId="0">
      <sharedItems containsSemiMixedTypes="0" containsString="0" containsNumber="1" minValue="59.99" maxValue="4499.95" count="44">
        <n v="59.99"/>
        <n v="79.989999999999995"/>
        <n v="89.99"/>
        <n v="119.98"/>
        <n v="149.99"/>
        <n v="179.97"/>
        <n v="179.98"/>
        <n v="199.99"/>
        <n v="239.96"/>
        <n v="239.97"/>
        <n v="249.99"/>
        <n v="269.97000000000003"/>
        <n v="299.95"/>
        <n v="299.98"/>
        <n v="299.99"/>
        <n v="319.95999999999998"/>
        <n v="359.96"/>
        <n v="399.95"/>
        <n v="399.98"/>
        <n v="449.95"/>
        <n v="449.97"/>
        <n v="499.98"/>
        <n v="599.96"/>
        <n v="599.97"/>
        <n v="599.98"/>
        <n v="699.99"/>
        <n v="749.95"/>
        <n v="749.97"/>
        <n v="799.96"/>
        <n v="899.97"/>
        <n v="899.99"/>
        <n v="999.95"/>
        <n v="999.96"/>
        <n v="1199.96"/>
        <n v="1249.95"/>
        <n v="1399.98"/>
        <n v="1499.95"/>
        <n v="1799.98"/>
        <n v="2099.9699999999998"/>
        <n v="2699.97"/>
        <n v="2799.96"/>
        <n v="3499.95"/>
        <n v="3599.96"/>
        <n v="4499.95"/>
      </sharedItems>
    </cacheField>
    <cacheField name="Check" numFmtId="0">
      <sharedItems count="1">
        <s v="OK"/>
      </sharedItems>
    </cacheField>
    <cacheField name="Month_End" numFmtId="0">
      <sharedItems containsSemiMixedTypes="0" containsNonDate="0" containsDate="1" containsString="0" minDate="2024-04-30T00:00:00" maxDate="2025-04-30T00:00:00" count="13"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</sharedItems>
    </cacheField>
    <cacheField name="Month_Label" numFmtId="0">
      <sharedItems count="13">
        <s v="Apr-24"/>
        <s v="Apr-25"/>
        <s v="Aug-24"/>
        <s v="Dec-24"/>
        <s v="Feb-25"/>
        <s v="Jan-25"/>
        <s v="Jul-24"/>
        <s v="Jun-24"/>
        <s v="Mar-25"/>
        <s v="May-24"/>
        <s v="Nov-24"/>
        <s v="Oct-24"/>
        <s v="Sep-24"/>
      </sharedItems>
    </cacheField>
    <cacheField name="Tenure_Years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Tenure_Months" numFmtId="0">
      <sharedItems containsSemiMixedTypes="0" containsString="0" containsNumber="1" containsInteger="1" minValue="1" maxValue="42" count="4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</sharedItems>
    </cacheField>
    <cacheField name="Days_Since_Sale" numFmtId="0">
      <sharedItems containsSemiMixedTypes="0" containsString="0" containsNumber="1" containsInteger="1" minValue="560" maxValue="925" count="162">
        <n v="560"/>
        <n v="562"/>
        <n v="563"/>
        <n v="569"/>
        <n v="570"/>
        <n v="572"/>
        <n v="573"/>
        <n v="575"/>
        <n v="578"/>
        <n v="579"/>
        <n v="581"/>
        <n v="584"/>
        <n v="592"/>
        <n v="594"/>
        <n v="595"/>
        <n v="597"/>
        <n v="598"/>
        <n v="600"/>
        <n v="603"/>
        <n v="606"/>
        <n v="607"/>
        <n v="608"/>
        <n v="610"/>
        <n v="611"/>
        <n v="613"/>
        <n v="614"/>
        <n v="617"/>
        <n v="622"/>
        <n v="623"/>
        <n v="626"/>
        <n v="630"/>
        <n v="632"/>
        <n v="635"/>
        <n v="636"/>
        <n v="642"/>
        <n v="645"/>
        <n v="647"/>
        <n v="648"/>
        <n v="650"/>
        <n v="651"/>
        <n v="652"/>
        <n v="655"/>
        <n v="657"/>
        <n v="658"/>
        <n v="661"/>
        <n v="663"/>
        <n v="664"/>
        <n v="669"/>
        <n v="670"/>
        <n v="672"/>
        <n v="673"/>
        <n v="674"/>
        <n v="677"/>
        <n v="680"/>
        <n v="682"/>
        <n v="683"/>
        <n v="688"/>
        <n v="689"/>
        <n v="691"/>
        <n v="695"/>
        <n v="696"/>
        <n v="699"/>
        <n v="701"/>
        <n v="705"/>
        <n v="710"/>
        <n v="711"/>
        <n v="713"/>
        <n v="714"/>
        <n v="715"/>
        <n v="718"/>
        <n v="721"/>
        <n v="726"/>
        <n v="729"/>
        <n v="730"/>
        <n v="732"/>
        <n v="735"/>
        <n v="737"/>
        <n v="739"/>
        <n v="742"/>
        <n v="745"/>
        <n v="746"/>
        <n v="752"/>
        <n v="754"/>
        <n v="755"/>
        <n v="758"/>
        <n v="759"/>
        <n v="764"/>
        <n v="767"/>
        <n v="768"/>
        <n v="770"/>
        <n v="771"/>
        <n v="773"/>
        <n v="774"/>
        <n v="777"/>
        <n v="780"/>
        <n v="781"/>
        <n v="784"/>
        <n v="786"/>
        <n v="790"/>
        <n v="792"/>
        <n v="795"/>
        <n v="796"/>
        <n v="799"/>
        <n v="801"/>
        <n v="803"/>
        <n v="805"/>
        <n v="808"/>
        <n v="809"/>
        <n v="814"/>
        <n v="815"/>
        <n v="817"/>
        <n v="818"/>
        <n v="820"/>
        <n v="821"/>
        <n v="822"/>
        <n v="827"/>
        <n v="828"/>
        <n v="831"/>
        <n v="834"/>
        <n v="836"/>
        <n v="837"/>
        <n v="842"/>
        <n v="843"/>
        <n v="844"/>
        <n v="846"/>
        <n v="847"/>
        <n v="849"/>
        <n v="850"/>
        <n v="858"/>
        <n v="859"/>
        <n v="862"/>
        <n v="866"/>
        <n v="868"/>
        <n v="869"/>
        <n v="872"/>
        <n v="874"/>
        <n v="875"/>
        <n v="877"/>
        <n v="878"/>
        <n v="880"/>
        <n v="883"/>
        <n v="884"/>
        <n v="886"/>
        <n v="888"/>
        <n v="890"/>
        <n v="891"/>
        <n v="893"/>
        <n v="894"/>
        <n v="896"/>
        <n v="902"/>
        <n v="903"/>
        <n v="905"/>
        <n v="906"/>
        <n v="908"/>
        <n v="909"/>
        <n v="910"/>
        <n v="913"/>
        <n v="915"/>
        <n v="918"/>
        <n v="919"/>
        <n v="922"/>
        <n v="925"/>
      </sharedItems>
    </cacheField>
    <cacheField name="Initials" numFmtId="0">
      <sharedItems count="49">
        <s v="AE"/>
        <s v="BC"/>
        <s v="BY"/>
        <s v="CA"/>
        <s v="CE"/>
        <s v="CP"/>
        <s v="DG"/>
        <s v="DK"/>
        <s v="DM"/>
        <s v="DN"/>
        <s v="DW"/>
        <s v="EH"/>
        <s v="EM"/>
        <s v="EW"/>
        <s v="FT"/>
        <s v="GA"/>
        <s v="GM"/>
        <s v="HM"/>
        <s v="HR"/>
        <s v="JF"/>
        <s v="JJ"/>
        <s v="JS"/>
        <s v="JT"/>
        <s v="KB"/>
        <s v="KH"/>
        <s v="KS"/>
        <s v="LA"/>
        <s v="LM"/>
        <s v="LR"/>
        <s v="MB"/>
        <s v="MC"/>
        <s v="MG"/>
        <s v="MR"/>
        <s v="MW"/>
        <s v="NC"/>
        <s v="PB"/>
        <s v="PM"/>
        <s v="PR"/>
        <s v="RB"/>
        <s v="RL"/>
        <s v="RR"/>
        <s v="RT"/>
        <s v="SB"/>
        <s v="SD"/>
        <s v="SG"/>
        <s v="SP"/>
        <s v="ST"/>
        <s v="VS"/>
        <s v="WW"/>
      </sharedItems>
    </cacheField>
    <cacheField name="Product_Code" numFmtId="0">
      <sharedItems count="10">
        <s v="BLE"/>
        <s v="BOO"/>
        <s v="COF"/>
        <s v="DES"/>
        <s v="HEA"/>
        <s v="KEY"/>
        <s v="LAP"/>
        <s v="MON"/>
        <s v="OFF"/>
        <s v="SMA"/>
      </sharedItems>
    </cacheField>
    <cacheField name="Order_Code" numFmtId="0">
      <sharedItems count="250">
        <s v="C-2404-023"/>
        <s v="C-2404-155"/>
        <s v="C-2404-193"/>
        <s v="C-2405-063"/>
        <s v="C-2405-202"/>
        <s v="C-2406-078"/>
        <s v="C-2406-088"/>
        <s v="C-2407-002"/>
        <s v="C-2407-018"/>
        <s v="C-2407-070"/>
        <s v="C-2407-096"/>
        <s v="C-2407-162"/>
        <s v="C-2407-215"/>
        <s v="C-2407-216"/>
        <s v="C-2408-001"/>
        <s v="C-2408-058"/>
        <s v="C-2408-236"/>
        <s v="C-2409-100"/>
        <s v="C-2409-108"/>
        <s v="C-2409-181"/>
        <s v="C-2409-225"/>
        <s v="C-2410-009"/>
        <s v="C-2410-034"/>
        <s v="C-2410-079"/>
        <s v="C-2410-085"/>
        <s v="C-2410-095"/>
        <s v="C-2410-146"/>
        <s v="C-2410-174"/>
        <s v="C-2411-160"/>
        <s v="C-2411-210"/>
        <s v="C-2412-082"/>
        <s v="C-2412-094"/>
        <s v="C-2412-147"/>
        <s v="C-2412-165"/>
        <s v="C-2412-180"/>
        <s v="C-2412-183"/>
        <s v="C-2501-030"/>
        <s v="C-2501-059"/>
        <s v="C-2501-125"/>
        <s v="C-2501-159"/>
        <s v="C-2501-188"/>
        <s v="C-2501-223"/>
        <s v="C-2502-011"/>
        <s v="C-2502-089"/>
        <s v="C-2502-168"/>
        <s v="C-2502-182"/>
        <s v="C-2502-196"/>
        <s v="C-2502-219"/>
        <s v="C-2503-152"/>
        <s v="C-2503-186"/>
        <s v="C-2503-197"/>
        <s v="C-2503-199"/>
        <s v="C-2503-227"/>
        <s v="C-2504-144"/>
        <s v="E-2404-135"/>
        <s v="E-2405-040"/>
        <s v="E-2405-232"/>
        <s v="E-2405-235"/>
        <s v="E-2405-239"/>
        <s v="E-2405-241"/>
        <s v="E-2406-044"/>
        <s v="E-2406-093"/>
        <s v="E-2406-104"/>
        <s v="E-2406-127"/>
        <s v="E-2406-150"/>
        <s v="E-2406-184"/>
        <s v="E-2406-208"/>
        <s v="E-2406-220"/>
        <s v="E-2406-234"/>
        <s v="E-2407-113"/>
        <s v="E-2408-031"/>
        <s v="E-2408-075"/>
        <s v="E-2408-132"/>
        <s v="E-2408-140"/>
        <s v="E-2408-176"/>
        <s v="E-2409-054"/>
        <s v="E-2409-077"/>
        <s v="E-2409-111"/>
        <s v="E-2409-119"/>
        <s v="E-2409-129"/>
        <s v="E-2409-142"/>
        <s v="E-2410-055"/>
        <s v="E-2410-173"/>
        <s v="E-2410-189"/>
        <s v="E-2412-036"/>
        <s v="E-2412-081"/>
        <s v="E-2412-137"/>
        <s v="E-2412-163"/>
        <s v="E-2412-198"/>
        <s v="E-2412-224"/>
        <s v="E-2501-072"/>
        <s v="E-2501-084"/>
        <s v="E-2501-110"/>
        <s v="E-2501-126"/>
        <s v="E-2501-237"/>
        <s v="E-2502-187"/>
        <s v="E-2502-214"/>
        <s v="E-2503-016"/>
        <s v="E-2503-175"/>
        <s v="E-2503-226"/>
        <s v="E-2504-103"/>
        <s v="E-2504-116"/>
        <s v="N-2404-043"/>
        <s v="N-2404-049"/>
        <s v="N-2404-067"/>
        <s v="N-2404-134"/>
        <s v="N-2404-209"/>
        <s v="N-2404-212"/>
        <s v="N-2404-222"/>
        <s v="N-2404-230"/>
        <s v="N-2404-246"/>
        <s v="N-2405-004"/>
        <s v="N-2405-042"/>
        <s v="N-2405-204"/>
        <s v="N-2405-245"/>
        <s v="N-2406-117"/>
        <s v="N-2407-006"/>
        <s v="N-2407-080"/>
        <s v="N-2407-086"/>
        <s v="N-2407-097"/>
        <s v="N-2407-114"/>
        <s v="N-2407-131"/>
        <s v="N-2407-141"/>
        <s v="N-2407-217"/>
        <s v="N-2408-027"/>
        <s v="N-2408-098"/>
        <s v="N-2408-101"/>
        <s v="N-2408-205"/>
        <s v="N-2408-247"/>
        <s v="N-2408-248"/>
        <s v="N-2409-005"/>
        <s v="N-2409-074"/>
        <s v="N-2409-112"/>
        <s v="N-2409-177"/>
        <s v="N-2410-153"/>
        <s v="N-2410-167"/>
        <s v="N-2410-203"/>
        <s v="N-2411-012"/>
        <s v="N-2411-035"/>
        <s v="N-2411-060"/>
        <s v="N-2411-073"/>
        <s v="N-2411-090"/>
        <s v="N-2412-008"/>
        <s v="N-2412-032"/>
        <s v="N-2412-066"/>
        <s v="N-2412-207"/>
        <s v="N-2501-022"/>
        <s v="N-2501-026"/>
        <s v="N-2501-087"/>
        <s v="N-2501-107"/>
        <s v="N-2501-238"/>
        <s v="N-2502-024"/>
        <s v="N-2502-047"/>
        <s v="N-2502-200"/>
        <s v="N-2503-013"/>
        <s v="N-2503-038"/>
        <s v="N-2503-124"/>
        <s v="N-2504-039"/>
        <s v="N-2504-064"/>
        <s v="N-2504-068"/>
        <s v="N-2504-120"/>
        <s v="S-2404-139"/>
        <s v="S-2404-240"/>
        <s v="S-2405-021"/>
        <s v="S-2405-029"/>
        <s v="S-2406-025"/>
        <s v="S-2406-115"/>
        <s v="S-2406-121"/>
        <s v="S-2406-154"/>
        <s v="S-2407-052"/>
        <s v="S-2407-136"/>
        <s v="S-2407-157"/>
        <s v="S-2407-228"/>
        <s v="S-2407-244"/>
        <s v="S-2407-249"/>
        <s v="S-2408-020"/>
        <s v="S-2408-037"/>
        <s v="S-2409-123"/>
        <s v="S-2409-195"/>
        <s v="S-2409-211"/>
        <s v="S-2410-218"/>
        <s v="S-2411-017"/>
        <s v="S-2411-057"/>
        <s v="S-2411-149"/>
        <s v="S-2411-206"/>
        <s v="S-2412-045"/>
        <s v="S-2412-046"/>
        <s v="S-2412-133"/>
        <s v="S-2412-156"/>
        <s v="S-2412-171"/>
        <s v="S-2501-051"/>
        <s v="S-2501-056"/>
        <s v="S-2501-069"/>
        <s v="S-2501-091"/>
        <s v="S-2501-102"/>
        <s v="S-2501-106"/>
        <s v="S-2501-166"/>
        <s v="S-2501-243"/>
        <s v="S-2502-048"/>
        <s v="S-2502-105"/>
        <s v="S-2502-118"/>
        <s v="S-2502-179"/>
        <s v="S-2503-213"/>
        <s v="W-2404-092"/>
        <s v="W-2404-122"/>
        <s v="W-2404-138"/>
        <s v="W-2404-185"/>
        <s v="W-2404-191"/>
        <s v="W-2404-231"/>
        <s v="W-2405-015"/>
        <s v="W-2405-041"/>
        <s v="W-2405-071"/>
        <s v="W-2405-130"/>
        <s v="W-2405-194"/>
        <s v="W-2405-242"/>
        <s v="W-2406-007"/>
        <s v="W-2406-061"/>
        <s v="W-2406-128"/>
        <s v="W-2407-169"/>
        <s v="W-2407-192"/>
        <s v="W-2408-065"/>
        <s v="W-2408-170"/>
        <s v="W-2409-099"/>
        <s v="W-2409-161"/>
        <s v="W-2410-158"/>
        <s v="W-2410-190"/>
        <s v="W-2411-033"/>
        <s v="W-2411-076"/>
        <s v="W-2411-109"/>
        <s v="W-2411-145"/>
        <s v="W-2411-148"/>
        <s v="W-2411-172"/>
        <s v="W-2412-028"/>
        <s v="W-2412-143"/>
        <s v="W-2412-164"/>
        <s v="W-2412-201"/>
        <s v="W-2501-010"/>
        <s v="W-2501-178"/>
        <s v="W-2502-062"/>
        <s v="W-2502-083"/>
        <s v="W-2502-151"/>
        <s v="W-2502-221"/>
        <s v="W-2502-229"/>
        <s v="W-2503-003"/>
        <s v="W-2503-014"/>
        <s v="W-2503-019"/>
        <s v="W-2503-050"/>
        <s v="W-2503-053"/>
        <s v="W-2503-233"/>
        <s v="W-2503-250"/>
      </sharedItems>
    </cacheField>
    <cacheField name="Repeat_Flag" numFmtId="0">
      <sharedItems count="2">
        <s v="First"/>
        <s v="Repeat"/>
      </sharedItems>
    </cacheField>
    <cacheField name="Filter_Seq" numFmtId="0">
      <sharedItems containsMixedTypes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s v=""/>
      </sharedItems>
    </cacheField>
    <cacheField name="Year_Month" numFmtId="0">
      <sharedItems count="13"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154"/>
    <x v="0"/>
    <x v="22"/>
    <x v="37"/>
    <x v="8"/>
    <x v="7"/>
    <x v="1"/>
    <x v="2"/>
    <x v="5"/>
    <x v="0"/>
    <x v="0"/>
    <x v="0"/>
    <x v="10"/>
    <x v="27"/>
    <x v="0"/>
    <x v="0"/>
    <x v="0"/>
    <x v="2"/>
    <x v="30"/>
    <x v="161"/>
    <x v="35"/>
    <x v="7"/>
    <x v="1"/>
    <x v="0"/>
    <x v="12"/>
    <x v="0"/>
  </r>
  <r>
    <x v="22"/>
    <x v="1"/>
    <x v="12"/>
    <x v="22"/>
    <x v="8"/>
    <x v="7"/>
    <x v="1"/>
    <x v="2"/>
    <x v="5"/>
    <x v="1"/>
    <x v="0"/>
    <x v="1"/>
    <x v="48"/>
    <x v="27"/>
    <x v="0"/>
    <x v="0"/>
    <x v="0"/>
    <x v="2"/>
    <x v="26"/>
    <x v="160"/>
    <x v="20"/>
    <x v="7"/>
    <x v="0"/>
    <x v="0"/>
    <x v="12"/>
    <x v="0"/>
  </r>
  <r>
    <x v="138"/>
    <x v="2"/>
    <x v="20"/>
    <x v="26"/>
    <x v="4"/>
    <x v="0"/>
    <x v="0"/>
    <x v="2"/>
    <x v="0"/>
    <x v="3"/>
    <x v="3"/>
    <x v="2"/>
    <x v="195"/>
    <x v="5"/>
    <x v="0"/>
    <x v="0"/>
    <x v="0"/>
    <x v="0"/>
    <x v="3"/>
    <x v="159"/>
    <x v="25"/>
    <x v="0"/>
    <x v="161"/>
    <x v="0"/>
    <x v="12"/>
    <x v="0"/>
  </r>
  <r>
    <x v="42"/>
    <x v="3"/>
    <x v="45"/>
    <x v="25"/>
    <x v="4"/>
    <x v="0"/>
    <x v="0"/>
    <x v="2"/>
    <x v="0"/>
    <x v="0"/>
    <x v="2"/>
    <x v="1"/>
    <x v="158"/>
    <x v="5"/>
    <x v="0"/>
    <x v="0"/>
    <x v="0"/>
    <x v="0"/>
    <x v="8"/>
    <x v="158"/>
    <x v="23"/>
    <x v="0"/>
    <x v="102"/>
    <x v="0"/>
    <x v="12"/>
    <x v="0"/>
  </r>
  <r>
    <x v="211"/>
    <x v="3"/>
    <x v="2"/>
    <x v="33"/>
    <x v="7"/>
    <x v="1"/>
    <x v="2"/>
    <x v="4"/>
    <x v="3"/>
    <x v="1"/>
    <x v="2"/>
    <x v="1"/>
    <x v="205"/>
    <x v="26"/>
    <x v="0"/>
    <x v="0"/>
    <x v="0"/>
    <x v="0"/>
    <x v="2"/>
    <x v="158"/>
    <x v="29"/>
    <x v="1"/>
    <x v="107"/>
    <x v="0"/>
    <x v="12"/>
    <x v="0"/>
  </r>
  <r>
    <x v="91"/>
    <x v="4"/>
    <x v="23"/>
    <x v="9"/>
    <x v="4"/>
    <x v="0"/>
    <x v="0"/>
    <x v="1"/>
    <x v="0"/>
    <x v="0"/>
    <x v="4"/>
    <x v="2"/>
    <x v="87"/>
    <x v="3"/>
    <x v="0"/>
    <x v="0"/>
    <x v="0"/>
    <x v="1"/>
    <x v="20"/>
    <x v="157"/>
    <x v="9"/>
    <x v="0"/>
    <x v="203"/>
    <x v="0"/>
    <x v="12"/>
    <x v="0"/>
  </r>
  <r>
    <x v="192"/>
    <x v="4"/>
    <x v="23"/>
    <x v="9"/>
    <x v="2"/>
    <x v="4"/>
    <x v="1"/>
    <x v="4"/>
    <x v="3"/>
    <x v="1"/>
    <x v="0"/>
    <x v="2"/>
    <x v="6"/>
    <x v="26"/>
    <x v="0"/>
    <x v="0"/>
    <x v="0"/>
    <x v="2"/>
    <x v="31"/>
    <x v="157"/>
    <x v="9"/>
    <x v="4"/>
    <x v="2"/>
    <x v="1"/>
    <x v="12"/>
    <x v="0"/>
  </r>
  <r>
    <x v="239"/>
    <x v="4"/>
    <x v="16"/>
    <x v="4"/>
    <x v="4"/>
    <x v="0"/>
    <x v="0"/>
    <x v="2"/>
    <x v="0"/>
    <x v="2"/>
    <x v="3"/>
    <x v="0"/>
    <x v="142"/>
    <x v="5"/>
    <x v="0"/>
    <x v="0"/>
    <x v="0"/>
    <x v="1"/>
    <x v="11"/>
    <x v="157"/>
    <x v="3"/>
    <x v="0"/>
    <x v="162"/>
    <x v="0"/>
    <x v="12"/>
    <x v="0"/>
  </r>
  <r>
    <x v="134"/>
    <x v="5"/>
    <x v="8"/>
    <x v="41"/>
    <x v="0"/>
    <x v="6"/>
    <x v="1"/>
    <x v="2"/>
    <x v="8"/>
    <x v="3"/>
    <x v="1"/>
    <x v="2"/>
    <x v="206"/>
    <x v="39"/>
    <x v="0"/>
    <x v="0"/>
    <x v="0"/>
    <x v="0"/>
    <x v="2"/>
    <x v="156"/>
    <x v="41"/>
    <x v="6"/>
    <x v="54"/>
    <x v="0"/>
    <x v="12"/>
    <x v="0"/>
  </r>
  <r>
    <x v="184"/>
    <x v="6"/>
    <x v="25"/>
    <x v="24"/>
    <x v="4"/>
    <x v="0"/>
    <x v="0"/>
    <x v="2"/>
    <x v="0"/>
    <x v="0"/>
    <x v="4"/>
    <x v="1"/>
    <x v="182"/>
    <x v="5"/>
    <x v="0"/>
    <x v="0"/>
    <x v="0"/>
    <x v="0"/>
    <x v="5"/>
    <x v="155"/>
    <x v="24"/>
    <x v="0"/>
    <x v="206"/>
    <x v="0"/>
    <x v="12"/>
    <x v="0"/>
  </r>
  <r>
    <x v="137"/>
    <x v="6"/>
    <x v="21"/>
    <x v="47"/>
    <x v="7"/>
    <x v="1"/>
    <x v="2"/>
    <x v="0"/>
    <x v="3"/>
    <x v="1"/>
    <x v="4"/>
    <x v="2"/>
    <x v="156"/>
    <x v="4"/>
    <x v="0"/>
    <x v="0"/>
    <x v="0"/>
    <x v="0"/>
    <x v="9"/>
    <x v="155"/>
    <x v="44"/>
    <x v="1"/>
    <x v="205"/>
    <x v="0"/>
    <x v="12"/>
    <x v="0"/>
  </r>
  <r>
    <x v="208"/>
    <x v="6"/>
    <x v="45"/>
    <x v="25"/>
    <x v="7"/>
    <x v="1"/>
    <x v="2"/>
    <x v="4"/>
    <x v="3"/>
    <x v="2"/>
    <x v="2"/>
    <x v="0"/>
    <x v="104"/>
    <x v="26"/>
    <x v="0"/>
    <x v="0"/>
    <x v="0"/>
    <x v="1"/>
    <x v="18"/>
    <x v="155"/>
    <x v="23"/>
    <x v="1"/>
    <x v="106"/>
    <x v="1"/>
    <x v="12"/>
    <x v="0"/>
  </r>
  <r>
    <x v="245"/>
    <x v="6"/>
    <x v="40"/>
    <x v="38"/>
    <x v="7"/>
    <x v="1"/>
    <x v="2"/>
    <x v="2"/>
    <x v="3"/>
    <x v="0"/>
    <x v="2"/>
    <x v="1"/>
    <x v="99"/>
    <x v="20"/>
    <x v="0"/>
    <x v="0"/>
    <x v="0"/>
    <x v="1"/>
    <x v="18"/>
    <x v="155"/>
    <x v="37"/>
    <x v="1"/>
    <x v="110"/>
    <x v="0"/>
    <x v="12"/>
    <x v="0"/>
  </r>
  <r>
    <x v="66"/>
    <x v="7"/>
    <x v="42"/>
    <x v="8"/>
    <x v="4"/>
    <x v="0"/>
    <x v="0"/>
    <x v="2"/>
    <x v="0"/>
    <x v="1"/>
    <x v="2"/>
    <x v="2"/>
    <x v="215"/>
    <x v="5"/>
    <x v="0"/>
    <x v="0"/>
    <x v="0"/>
    <x v="0"/>
    <x v="0"/>
    <x v="154"/>
    <x v="6"/>
    <x v="0"/>
    <x v="104"/>
    <x v="0"/>
    <x v="12"/>
    <x v="0"/>
  </r>
  <r>
    <x v="190"/>
    <x v="7"/>
    <x v="37"/>
    <x v="34"/>
    <x v="1"/>
    <x v="9"/>
    <x v="1"/>
    <x v="2"/>
    <x v="7"/>
    <x v="1"/>
    <x v="4"/>
    <x v="0"/>
    <x v="50"/>
    <x v="38"/>
    <x v="0"/>
    <x v="0"/>
    <x v="0"/>
    <x v="2"/>
    <x v="26"/>
    <x v="154"/>
    <x v="32"/>
    <x v="9"/>
    <x v="207"/>
    <x v="0"/>
    <x v="0"/>
    <x v="0"/>
  </r>
  <r>
    <x v="229"/>
    <x v="7"/>
    <x v="26"/>
    <x v="15"/>
    <x v="0"/>
    <x v="6"/>
    <x v="1"/>
    <x v="0"/>
    <x v="8"/>
    <x v="2"/>
    <x v="2"/>
    <x v="2"/>
    <x v="123"/>
    <x v="30"/>
    <x v="0"/>
    <x v="0"/>
    <x v="0"/>
    <x v="1"/>
    <x v="15"/>
    <x v="154"/>
    <x v="15"/>
    <x v="6"/>
    <x v="109"/>
    <x v="0"/>
    <x v="12"/>
    <x v="0"/>
  </r>
  <r>
    <x v="48"/>
    <x v="8"/>
    <x v="24"/>
    <x v="32"/>
    <x v="7"/>
    <x v="1"/>
    <x v="2"/>
    <x v="3"/>
    <x v="3"/>
    <x v="2"/>
    <x v="2"/>
    <x v="1"/>
    <x v="218"/>
    <x v="22"/>
    <x v="0"/>
    <x v="0"/>
    <x v="0"/>
    <x v="0"/>
    <x v="0"/>
    <x v="153"/>
    <x v="30"/>
    <x v="1"/>
    <x v="103"/>
    <x v="0"/>
    <x v="12"/>
    <x v="0"/>
  </r>
  <r>
    <x v="133"/>
    <x v="8"/>
    <x v="9"/>
    <x v="31"/>
    <x v="1"/>
    <x v="9"/>
    <x v="1"/>
    <x v="1"/>
    <x v="7"/>
    <x v="0"/>
    <x v="2"/>
    <x v="0"/>
    <x v="96"/>
    <x v="35"/>
    <x v="0"/>
    <x v="0"/>
    <x v="0"/>
    <x v="1"/>
    <x v="19"/>
    <x v="153"/>
    <x v="31"/>
    <x v="9"/>
    <x v="105"/>
    <x v="0"/>
    <x v="12"/>
    <x v="0"/>
  </r>
  <r>
    <x v="121"/>
    <x v="8"/>
    <x v="24"/>
    <x v="32"/>
    <x v="0"/>
    <x v="6"/>
    <x v="1"/>
    <x v="3"/>
    <x v="8"/>
    <x v="1"/>
    <x v="4"/>
    <x v="2"/>
    <x v="210"/>
    <x v="42"/>
    <x v="0"/>
    <x v="0"/>
    <x v="0"/>
    <x v="0"/>
    <x v="1"/>
    <x v="153"/>
    <x v="30"/>
    <x v="6"/>
    <x v="204"/>
    <x v="1"/>
    <x v="1"/>
    <x v="0"/>
  </r>
  <r>
    <x v="221"/>
    <x v="8"/>
    <x v="47"/>
    <x v="48"/>
    <x v="8"/>
    <x v="7"/>
    <x v="1"/>
    <x v="2"/>
    <x v="5"/>
    <x v="1"/>
    <x v="2"/>
    <x v="1"/>
    <x v="187"/>
    <x v="27"/>
    <x v="0"/>
    <x v="0"/>
    <x v="0"/>
    <x v="0"/>
    <x v="5"/>
    <x v="153"/>
    <x v="47"/>
    <x v="7"/>
    <x v="108"/>
    <x v="0"/>
    <x v="12"/>
    <x v="0"/>
  </r>
  <r>
    <x v="230"/>
    <x v="9"/>
    <x v="17"/>
    <x v="1"/>
    <x v="1"/>
    <x v="9"/>
    <x v="1"/>
    <x v="4"/>
    <x v="7"/>
    <x v="0"/>
    <x v="4"/>
    <x v="0"/>
    <x v="170"/>
    <x v="41"/>
    <x v="0"/>
    <x v="0"/>
    <x v="0"/>
    <x v="0"/>
    <x v="7"/>
    <x v="152"/>
    <x v="2"/>
    <x v="9"/>
    <x v="208"/>
    <x v="0"/>
    <x v="2"/>
    <x v="0"/>
  </r>
  <r>
    <x v="238"/>
    <x v="10"/>
    <x v="11"/>
    <x v="36"/>
    <x v="1"/>
    <x v="9"/>
    <x v="1"/>
    <x v="3"/>
    <x v="7"/>
    <x v="0"/>
    <x v="1"/>
    <x v="2"/>
    <x v="4"/>
    <x v="40"/>
    <x v="0"/>
    <x v="1"/>
    <x v="9"/>
    <x v="2"/>
    <x v="32"/>
    <x v="151"/>
    <x v="36"/>
    <x v="9"/>
    <x v="58"/>
    <x v="0"/>
    <x v="12"/>
    <x v="1"/>
  </r>
  <r>
    <x v="203"/>
    <x v="11"/>
    <x v="43"/>
    <x v="5"/>
    <x v="8"/>
    <x v="7"/>
    <x v="1"/>
    <x v="3"/>
    <x v="5"/>
    <x v="3"/>
    <x v="2"/>
    <x v="2"/>
    <x v="20"/>
    <x v="32"/>
    <x v="0"/>
    <x v="1"/>
    <x v="9"/>
    <x v="2"/>
    <x v="30"/>
    <x v="150"/>
    <x v="5"/>
    <x v="7"/>
    <x v="113"/>
    <x v="0"/>
    <x v="12"/>
    <x v="1"/>
  </r>
  <r>
    <x v="241"/>
    <x v="12"/>
    <x v="24"/>
    <x v="32"/>
    <x v="6"/>
    <x v="3"/>
    <x v="2"/>
    <x v="3"/>
    <x v="6"/>
    <x v="0"/>
    <x v="4"/>
    <x v="1"/>
    <x v="79"/>
    <x v="33"/>
    <x v="0"/>
    <x v="1"/>
    <x v="9"/>
    <x v="1"/>
    <x v="22"/>
    <x v="149"/>
    <x v="30"/>
    <x v="3"/>
    <x v="214"/>
    <x v="1"/>
    <x v="3"/>
    <x v="1"/>
  </r>
  <r>
    <x v="70"/>
    <x v="13"/>
    <x v="35"/>
    <x v="35"/>
    <x v="8"/>
    <x v="7"/>
    <x v="1"/>
    <x v="4"/>
    <x v="5"/>
    <x v="1"/>
    <x v="4"/>
    <x v="2"/>
    <x v="33"/>
    <x v="34"/>
    <x v="0"/>
    <x v="1"/>
    <x v="9"/>
    <x v="2"/>
    <x v="28"/>
    <x v="148"/>
    <x v="34"/>
    <x v="7"/>
    <x v="211"/>
    <x v="0"/>
    <x v="4"/>
    <x v="1"/>
  </r>
  <r>
    <x v="39"/>
    <x v="14"/>
    <x v="21"/>
    <x v="47"/>
    <x v="6"/>
    <x v="3"/>
    <x v="2"/>
    <x v="4"/>
    <x v="6"/>
    <x v="3"/>
    <x v="1"/>
    <x v="0"/>
    <x v="171"/>
    <x v="36"/>
    <x v="0"/>
    <x v="1"/>
    <x v="9"/>
    <x v="0"/>
    <x v="7"/>
    <x v="147"/>
    <x v="44"/>
    <x v="3"/>
    <x v="55"/>
    <x v="1"/>
    <x v="12"/>
    <x v="1"/>
  </r>
  <r>
    <x v="234"/>
    <x v="14"/>
    <x v="13"/>
    <x v="28"/>
    <x v="3"/>
    <x v="2"/>
    <x v="0"/>
    <x v="2"/>
    <x v="1"/>
    <x v="3"/>
    <x v="1"/>
    <x v="1"/>
    <x v="144"/>
    <x v="9"/>
    <x v="0"/>
    <x v="1"/>
    <x v="9"/>
    <x v="1"/>
    <x v="12"/>
    <x v="147"/>
    <x v="27"/>
    <x v="2"/>
    <x v="57"/>
    <x v="0"/>
    <x v="12"/>
    <x v="1"/>
  </r>
  <r>
    <x v="3"/>
    <x v="14"/>
    <x v="11"/>
    <x v="36"/>
    <x v="9"/>
    <x v="5"/>
    <x v="1"/>
    <x v="4"/>
    <x v="2"/>
    <x v="0"/>
    <x v="2"/>
    <x v="1"/>
    <x v="122"/>
    <x v="19"/>
    <x v="0"/>
    <x v="1"/>
    <x v="9"/>
    <x v="1"/>
    <x v="15"/>
    <x v="147"/>
    <x v="36"/>
    <x v="5"/>
    <x v="111"/>
    <x v="1"/>
    <x v="12"/>
    <x v="1"/>
  </r>
  <r>
    <x v="62"/>
    <x v="15"/>
    <x v="29"/>
    <x v="18"/>
    <x v="4"/>
    <x v="0"/>
    <x v="0"/>
    <x v="1"/>
    <x v="0"/>
    <x v="2"/>
    <x v="0"/>
    <x v="2"/>
    <x v="184"/>
    <x v="3"/>
    <x v="0"/>
    <x v="1"/>
    <x v="9"/>
    <x v="0"/>
    <x v="5"/>
    <x v="146"/>
    <x v="18"/>
    <x v="0"/>
    <x v="3"/>
    <x v="0"/>
    <x v="12"/>
    <x v="1"/>
  </r>
  <r>
    <x v="240"/>
    <x v="16"/>
    <x v="28"/>
    <x v="11"/>
    <x v="4"/>
    <x v="0"/>
    <x v="0"/>
    <x v="3"/>
    <x v="0"/>
    <x v="2"/>
    <x v="1"/>
    <x v="2"/>
    <x v="107"/>
    <x v="8"/>
    <x v="0"/>
    <x v="1"/>
    <x v="9"/>
    <x v="1"/>
    <x v="17"/>
    <x v="145"/>
    <x v="12"/>
    <x v="0"/>
    <x v="59"/>
    <x v="0"/>
    <x v="12"/>
    <x v="1"/>
  </r>
  <r>
    <x v="28"/>
    <x v="16"/>
    <x v="16"/>
    <x v="4"/>
    <x v="5"/>
    <x v="8"/>
    <x v="2"/>
    <x v="4"/>
    <x v="4"/>
    <x v="0"/>
    <x v="3"/>
    <x v="2"/>
    <x v="5"/>
    <x v="31"/>
    <x v="0"/>
    <x v="1"/>
    <x v="9"/>
    <x v="2"/>
    <x v="32"/>
    <x v="145"/>
    <x v="3"/>
    <x v="8"/>
    <x v="164"/>
    <x v="1"/>
    <x v="12"/>
    <x v="1"/>
  </r>
  <r>
    <x v="193"/>
    <x v="17"/>
    <x v="5"/>
    <x v="29"/>
    <x v="7"/>
    <x v="1"/>
    <x v="2"/>
    <x v="1"/>
    <x v="3"/>
    <x v="1"/>
    <x v="4"/>
    <x v="0"/>
    <x v="101"/>
    <x v="13"/>
    <x v="0"/>
    <x v="1"/>
    <x v="9"/>
    <x v="1"/>
    <x v="18"/>
    <x v="144"/>
    <x v="26"/>
    <x v="1"/>
    <x v="213"/>
    <x v="0"/>
    <x v="12"/>
    <x v="1"/>
  </r>
  <r>
    <x v="129"/>
    <x v="18"/>
    <x v="1"/>
    <x v="13"/>
    <x v="7"/>
    <x v="1"/>
    <x v="2"/>
    <x v="2"/>
    <x v="3"/>
    <x v="1"/>
    <x v="4"/>
    <x v="1"/>
    <x v="149"/>
    <x v="20"/>
    <x v="0"/>
    <x v="1"/>
    <x v="9"/>
    <x v="0"/>
    <x v="10"/>
    <x v="143"/>
    <x v="13"/>
    <x v="1"/>
    <x v="212"/>
    <x v="0"/>
    <x v="12"/>
    <x v="1"/>
  </r>
  <r>
    <x v="40"/>
    <x v="19"/>
    <x v="20"/>
    <x v="26"/>
    <x v="0"/>
    <x v="6"/>
    <x v="1"/>
    <x v="0"/>
    <x v="8"/>
    <x v="1"/>
    <x v="4"/>
    <x v="1"/>
    <x v="51"/>
    <x v="30"/>
    <x v="0"/>
    <x v="1"/>
    <x v="9"/>
    <x v="2"/>
    <x v="27"/>
    <x v="142"/>
    <x v="25"/>
    <x v="6"/>
    <x v="210"/>
    <x v="1"/>
    <x v="12"/>
    <x v="1"/>
  </r>
  <r>
    <x v="231"/>
    <x v="20"/>
    <x v="11"/>
    <x v="36"/>
    <x v="6"/>
    <x v="3"/>
    <x v="2"/>
    <x v="2"/>
    <x v="6"/>
    <x v="1"/>
    <x v="1"/>
    <x v="0"/>
    <x v="102"/>
    <x v="29"/>
    <x v="0"/>
    <x v="1"/>
    <x v="9"/>
    <x v="1"/>
    <x v="19"/>
    <x v="141"/>
    <x v="36"/>
    <x v="3"/>
    <x v="56"/>
    <x v="1"/>
    <x v="12"/>
    <x v="1"/>
  </r>
  <r>
    <x v="20"/>
    <x v="21"/>
    <x v="5"/>
    <x v="29"/>
    <x v="3"/>
    <x v="2"/>
    <x v="0"/>
    <x v="2"/>
    <x v="1"/>
    <x v="0"/>
    <x v="3"/>
    <x v="0"/>
    <x v="146"/>
    <x v="9"/>
    <x v="0"/>
    <x v="1"/>
    <x v="9"/>
    <x v="1"/>
    <x v="11"/>
    <x v="140"/>
    <x v="26"/>
    <x v="2"/>
    <x v="163"/>
    <x v="1"/>
    <x v="12"/>
    <x v="1"/>
  </r>
  <r>
    <x v="244"/>
    <x v="22"/>
    <x v="30"/>
    <x v="46"/>
    <x v="5"/>
    <x v="8"/>
    <x v="2"/>
    <x v="2"/>
    <x v="4"/>
    <x v="1"/>
    <x v="2"/>
    <x v="1"/>
    <x v="204"/>
    <x v="23"/>
    <x v="0"/>
    <x v="1"/>
    <x v="9"/>
    <x v="0"/>
    <x v="3"/>
    <x v="139"/>
    <x v="46"/>
    <x v="8"/>
    <x v="114"/>
    <x v="0"/>
    <x v="12"/>
    <x v="1"/>
  </r>
  <r>
    <x v="14"/>
    <x v="23"/>
    <x v="7"/>
    <x v="20"/>
    <x v="1"/>
    <x v="9"/>
    <x v="1"/>
    <x v="4"/>
    <x v="7"/>
    <x v="3"/>
    <x v="4"/>
    <x v="2"/>
    <x v="3"/>
    <x v="41"/>
    <x v="0"/>
    <x v="1"/>
    <x v="9"/>
    <x v="2"/>
    <x v="32"/>
    <x v="138"/>
    <x v="22"/>
    <x v="9"/>
    <x v="209"/>
    <x v="0"/>
    <x v="5"/>
    <x v="1"/>
  </r>
  <r>
    <x v="201"/>
    <x v="24"/>
    <x v="34"/>
    <x v="17"/>
    <x v="9"/>
    <x v="5"/>
    <x v="1"/>
    <x v="2"/>
    <x v="2"/>
    <x v="3"/>
    <x v="0"/>
    <x v="1"/>
    <x v="160"/>
    <x v="11"/>
    <x v="0"/>
    <x v="1"/>
    <x v="9"/>
    <x v="0"/>
    <x v="9"/>
    <x v="137"/>
    <x v="17"/>
    <x v="5"/>
    <x v="4"/>
    <x v="0"/>
    <x v="12"/>
    <x v="1"/>
  </r>
  <r>
    <x v="41"/>
    <x v="25"/>
    <x v="18"/>
    <x v="6"/>
    <x v="3"/>
    <x v="2"/>
    <x v="0"/>
    <x v="0"/>
    <x v="1"/>
    <x v="0"/>
    <x v="2"/>
    <x v="2"/>
    <x v="121"/>
    <x v="1"/>
    <x v="0"/>
    <x v="1"/>
    <x v="9"/>
    <x v="1"/>
    <x v="16"/>
    <x v="136"/>
    <x v="7"/>
    <x v="2"/>
    <x v="112"/>
    <x v="0"/>
    <x v="12"/>
    <x v="1"/>
  </r>
  <r>
    <x v="127"/>
    <x v="26"/>
    <x v="39"/>
    <x v="45"/>
    <x v="4"/>
    <x v="0"/>
    <x v="0"/>
    <x v="1"/>
    <x v="0"/>
    <x v="0"/>
    <x v="4"/>
    <x v="0"/>
    <x v="221"/>
    <x v="3"/>
    <x v="0"/>
    <x v="2"/>
    <x v="7"/>
    <x v="0"/>
    <x v="0"/>
    <x v="135"/>
    <x v="42"/>
    <x v="0"/>
    <x v="217"/>
    <x v="0"/>
    <x v="12"/>
    <x v="2"/>
  </r>
  <r>
    <x v="116"/>
    <x v="26"/>
    <x v="16"/>
    <x v="4"/>
    <x v="9"/>
    <x v="5"/>
    <x v="1"/>
    <x v="0"/>
    <x v="2"/>
    <x v="0"/>
    <x v="2"/>
    <x v="0"/>
    <x v="164"/>
    <x v="2"/>
    <x v="0"/>
    <x v="2"/>
    <x v="7"/>
    <x v="0"/>
    <x v="8"/>
    <x v="135"/>
    <x v="3"/>
    <x v="5"/>
    <x v="115"/>
    <x v="1"/>
    <x v="12"/>
    <x v="2"/>
  </r>
  <r>
    <x v="207"/>
    <x v="27"/>
    <x v="3"/>
    <x v="44"/>
    <x v="9"/>
    <x v="5"/>
    <x v="1"/>
    <x v="4"/>
    <x v="2"/>
    <x v="1"/>
    <x v="1"/>
    <x v="2"/>
    <x v="55"/>
    <x v="19"/>
    <x v="0"/>
    <x v="2"/>
    <x v="7"/>
    <x v="2"/>
    <x v="27"/>
    <x v="134"/>
    <x v="43"/>
    <x v="5"/>
    <x v="66"/>
    <x v="0"/>
    <x v="12"/>
    <x v="2"/>
  </r>
  <r>
    <x v="233"/>
    <x v="28"/>
    <x v="12"/>
    <x v="22"/>
    <x v="8"/>
    <x v="7"/>
    <x v="1"/>
    <x v="4"/>
    <x v="5"/>
    <x v="1"/>
    <x v="1"/>
    <x v="2"/>
    <x v="78"/>
    <x v="34"/>
    <x v="0"/>
    <x v="2"/>
    <x v="7"/>
    <x v="2"/>
    <x v="23"/>
    <x v="133"/>
    <x v="20"/>
    <x v="7"/>
    <x v="68"/>
    <x v="1"/>
    <x v="12"/>
    <x v="2"/>
  </r>
  <r>
    <x v="120"/>
    <x v="28"/>
    <x v="27"/>
    <x v="2"/>
    <x v="9"/>
    <x v="5"/>
    <x v="1"/>
    <x v="0"/>
    <x v="2"/>
    <x v="1"/>
    <x v="3"/>
    <x v="2"/>
    <x v="53"/>
    <x v="2"/>
    <x v="0"/>
    <x v="2"/>
    <x v="7"/>
    <x v="2"/>
    <x v="27"/>
    <x v="133"/>
    <x v="1"/>
    <x v="5"/>
    <x v="167"/>
    <x v="0"/>
    <x v="12"/>
    <x v="2"/>
  </r>
  <r>
    <x v="219"/>
    <x v="29"/>
    <x v="2"/>
    <x v="33"/>
    <x v="7"/>
    <x v="1"/>
    <x v="2"/>
    <x v="1"/>
    <x v="3"/>
    <x v="0"/>
    <x v="1"/>
    <x v="1"/>
    <x v="68"/>
    <x v="13"/>
    <x v="0"/>
    <x v="2"/>
    <x v="7"/>
    <x v="2"/>
    <x v="25"/>
    <x v="132"/>
    <x v="29"/>
    <x v="1"/>
    <x v="67"/>
    <x v="1"/>
    <x v="12"/>
    <x v="2"/>
  </r>
  <r>
    <x v="92"/>
    <x v="30"/>
    <x v="49"/>
    <x v="23"/>
    <x v="4"/>
    <x v="0"/>
    <x v="0"/>
    <x v="3"/>
    <x v="0"/>
    <x v="0"/>
    <x v="1"/>
    <x v="2"/>
    <x v="13"/>
    <x v="8"/>
    <x v="0"/>
    <x v="2"/>
    <x v="7"/>
    <x v="2"/>
    <x v="32"/>
    <x v="131"/>
    <x v="19"/>
    <x v="0"/>
    <x v="61"/>
    <x v="0"/>
    <x v="12"/>
    <x v="2"/>
  </r>
  <r>
    <x v="87"/>
    <x v="31"/>
    <x v="5"/>
    <x v="29"/>
    <x v="9"/>
    <x v="5"/>
    <x v="1"/>
    <x v="4"/>
    <x v="2"/>
    <x v="0"/>
    <x v="0"/>
    <x v="1"/>
    <x v="52"/>
    <x v="19"/>
    <x v="0"/>
    <x v="2"/>
    <x v="7"/>
    <x v="2"/>
    <x v="27"/>
    <x v="130"/>
    <x v="26"/>
    <x v="5"/>
    <x v="6"/>
    <x v="1"/>
    <x v="12"/>
    <x v="2"/>
  </r>
  <r>
    <x v="114"/>
    <x v="32"/>
    <x v="11"/>
    <x v="36"/>
    <x v="9"/>
    <x v="5"/>
    <x v="1"/>
    <x v="1"/>
    <x v="2"/>
    <x v="1"/>
    <x v="3"/>
    <x v="1"/>
    <x v="21"/>
    <x v="6"/>
    <x v="0"/>
    <x v="2"/>
    <x v="7"/>
    <x v="2"/>
    <x v="31"/>
    <x v="129"/>
    <x v="36"/>
    <x v="5"/>
    <x v="166"/>
    <x v="1"/>
    <x v="12"/>
    <x v="2"/>
  </r>
  <r>
    <x v="153"/>
    <x v="32"/>
    <x v="22"/>
    <x v="37"/>
    <x v="0"/>
    <x v="6"/>
    <x v="1"/>
    <x v="4"/>
    <x v="8"/>
    <x v="1"/>
    <x v="3"/>
    <x v="2"/>
    <x v="133"/>
    <x v="43"/>
    <x v="0"/>
    <x v="2"/>
    <x v="7"/>
    <x v="1"/>
    <x v="14"/>
    <x v="129"/>
    <x v="35"/>
    <x v="6"/>
    <x v="168"/>
    <x v="1"/>
    <x v="12"/>
    <x v="2"/>
  </r>
  <r>
    <x v="43"/>
    <x v="32"/>
    <x v="28"/>
    <x v="11"/>
    <x v="0"/>
    <x v="6"/>
    <x v="1"/>
    <x v="4"/>
    <x v="8"/>
    <x v="3"/>
    <x v="1"/>
    <x v="1"/>
    <x v="199"/>
    <x v="43"/>
    <x v="0"/>
    <x v="2"/>
    <x v="7"/>
    <x v="0"/>
    <x v="4"/>
    <x v="129"/>
    <x v="12"/>
    <x v="6"/>
    <x v="60"/>
    <x v="1"/>
    <x v="12"/>
    <x v="2"/>
  </r>
  <r>
    <x v="60"/>
    <x v="33"/>
    <x v="27"/>
    <x v="2"/>
    <x v="4"/>
    <x v="0"/>
    <x v="0"/>
    <x v="0"/>
    <x v="0"/>
    <x v="2"/>
    <x v="4"/>
    <x v="1"/>
    <x v="176"/>
    <x v="0"/>
    <x v="0"/>
    <x v="2"/>
    <x v="7"/>
    <x v="0"/>
    <x v="7"/>
    <x v="128"/>
    <x v="1"/>
    <x v="0"/>
    <x v="216"/>
    <x v="1"/>
    <x v="12"/>
    <x v="2"/>
  </r>
  <r>
    <x v="149"/>
    <x v="33"/>
    <x v="7"/>
    <x v="20"/>
    <x v="6"/>
    <x v="3"/>
    <x v="2"/>
    <x v="1"/>
    <x v="6"/>
    <x v="2"/>
    <x v="1"/>
    <x v="2"/>
    <x v="191"/>
    <x v="24"/>
    <x v="0"/>
    <x v="2"/>
    <x v="7"/>
    <x v="0"/>
    <x v="5"/>
    <x v="128"/>
    <x v="22"/>
    <x v="3"/>
    <x v="64"/>
    <x v="1"/>
    <x v="12"/>
    <x v="2"/>
  </r>
  <r>
    <x v="24"/>
    <x v="34"/>
    <x v="48"/>
    <x v="39"/>
    <x v="9"/>
    <x v="5"/>
    <x v="1"/>
    <x v="3"/>
    <x v="2"/>
    <x v="2"/>
    <x v="3"/>
    <x v="0"/>
    <x v="201"/>
    <x v="16"/>
    <x v="0"/>
    <x v="2"/>
    <x v="7"/>
    <x v="0"/>
    <x v="5"/>
    <x v="127"/>
    <x v="40"/>
    <x v="5"/>
    <x v="165"/>
    <x v="0"/>
    <x v="12"/>
    <x v="2"/>
  </r>
  <r>
    <x v="77"/>
    <x v="35"/>
    <x v="20"/>
    <x v="26"/>
    <x v="3"/>
    <x v="2"/>
    <x v="0"/>
    <x v="0"/>
    <x v="1"/>
    <x v="3"/>
    <x v="0"/>
    <x v="1"/>
    <x v="216"/>
    <x v="1"/>
    <x v="0"/>
    <x v="2"/>
    <x v="7"/>
    <x v="0"/>
    <x v="2"/>
    <x v="126"/>
    <x v="25"/>
    <x v="2"/>
    <x v="5"/>
    <x v="1"/>
    <x v="12"/>
    <x v="2"/>
  </r>
  <r>
    <x v="6"/>
    <x v="35"/>
    <x v="8"/>
    <x v="41"/>
    <x v="9"/>
    <x v="5"/>
    <x v="1"/>
    <x v="1"/>
    <x v="2"/>
    <x v="0"/>
    <x v="4"/>
    <x v="0"/>
    <x v="15"/>
    <x v="6"/>
    <x v="0"/>
    <x v="2"/>
    <x v="7"/>
    <x v="2"/>
    <x v="32"/>
    <x v="126"/>
    <x v="41"/>
    <x v="5"/>
    <x v="215"/>
    <x v="1"/>
    <x v="12"/>
    <x v="2"/>
  </r>
  <r>
    <x v="183"/>
    <x v="36"/>
    <x v="45"/>
    <x v="25"/>
    <x v="1"/>
    <x v="9"/>
    <x v="1"/>
    <x v="2"/>
    <x v="7"/>
    <x v="1"/>
    <x v="1"/>
    <x v="1"/>
    <x v="155"/>
    <x v="38"/>
    <x v="0"/>
    <x v="2"/>
    <x v="7"/>
    <x v="1"/>
    <x v="11"/>
    <x v="125"/>
    <x v="23"/>
    <x v="9"/>
    <x v="65"/>
    <x v="1"/>
    <x v="12"/>
    <x v="2"/>
  </r>
  <r>
    <x v="103"/>
    <x v="36"/>
    <x v="11"/>
    <x v="36"/>
    <x v="0"/>
    <x v="6"/>
    <x v="1"/>
    <x v="3"/>
    <x v="8"/>
    <x v="1"/>
    <x v="1"/>
    <x v="1"/>
    <x v="140"/>
    <x v="42"/>
    <x v="0"/>
    <x v="2"/>
    <x v="7"/>
    <x v="1"/>
    <x v="14"/>
    <x v="125"/>
    <x v="36"/>
    <x v="6"/>
    <x v="62"/>
    <x v="1"/>
    <x v="12"/>
    <x v="2"/>
  </r>
  <r>
    <x v="126"/>
    <x v="37"/>
    <x v="29"/>
    <x v="18"/>
    <x v="7"/>
    <x v="1"/>
    <x v="2"/>
    <x v="0"/>
    <x v="3"/>
    <x v="3"/>
    <x v="1"/>
    <x v="0"/>
    <x v="106"/>
    <x v="4"/>
    <x v="0"/>
    <x v="2"/>
    <x v="7"/>
    <x v="1"/>
    <x v="19"/>
    <x v="124"/>
    <x v="18"/>
    <x v="1"/>
    <x v="63"/>
    <x v="1"/>
    <x v="12"/>
    <x v="2"/>
  </r>
  <r>
    <x v="95"/>
    <x v="38"/>
    <x v="1"/>
    <x v="13"/>
    <x v="9"/>
    <x v="5"/>
    <x v="1"/>
    <x v="1"/>
    <x v="2"/>
    <x v="3"/>
    <x v="0"/>
    <x v="1"/>
    <x v="198"/>
    <x v="6"/>
    <x v="0"/>
    <x v="3"/>
    <x v="6"/>
    <x v="0"/>
    <x v="5"/>
    <x v="123"/>
    <x v="13"/>
    <x v="5"/>
    <x v="10"/>
    <x v="1"/>
    <x v="12"/>
    <x v="3"/>
  </r>
  <r>
    <x v="191"/>
    <x v="39"/>
    <x v="16"/>
    <x v="4"/>
    <x v="9"/>
    <x v="5"/>
    <x v="1"/>
    <x v="0"/>
    <x v="2"/>
    <x v="3"/>
    <x v="4"/>
    <x v="2"/>
    <x v="98"/>
    <x v="2"/>
    <x v="0"/>
    <x v="3"/>
    <x v="6"/>
    <x v="1"/>
    <x v="21"/>
    <x v="122"/>
    <x v="3"/>
    <x v="5"/>
    <x v="219"/>
    <x v="1"/>
    <x v="12"/>
    <x v="3"/>
  </r>
  <r>
    <x v="51"/>
    <x v="40"/>
    <x v="21"/>
    <x v="47"/>
    <x v="9"/>
    <x v="5"/>
    <x v="1"/>
    <x v="0"/>
    <x v="2"/>
    <x v="0"/>
    <x v="3"/>
    <x v="2"/>
    <x v="58"/>
    <x v="2"/>
    <x v="0"/>
    <x v="3"/>
    <x v="6"/>
    <x v="2"/>
    <x v="27"/>
    <x v="121"/>
    <x v="44"/>
    <x v="5"/>
    <x v="169"/>
    <x v="1"/>
    <x v="12"/>
    <x v="3"/>
  </r>
  <r>
    <x v="69"/>
    <x v="40"/>
    <x v="6"/>
    <x v="7"/>
    <x v="3"/>
    <x v="2"/>
    <x v="0"/>
    <x v="4"/>
    <x v="1"/>
    <x v="2"/>
    <x v="0"/>
    <x v="0"/>
    <x v="136"/>
    <x v="17"/>
    <x v="0"/>
    <x v="3"/>
    <x v="6"/>
    <x v="1"/>
    <x v="15"/>
    <x v="121"/>
    <x v="8"/>
    <x v="2"/>
    <x v="9"/>
    <x v="0"/>
    <x v="12"/>
    <x v="3"/>
  </r>
  <r>
    <x v="85"/>
    <x v="41"/>
    <x v="19"/>
    <x v="30"/>
    <x v="7"/>
    <x v="1"/>
    <x v="2"/>
    <x v="0"/>
    <x v="3"/>
    <x v="3"/>
    <x v="2"/>
    <x v="0"/>
    <x v="8"/>
    <x v="4"/>
    <x v="0"/>
    <x v="3"/>
    <x v="6"/>
    <x v="2"/>
    <x v="33"/>
    <x v="120"/>
    <x v="33"/>
    <x v="1"/>
    <x v="118"/>
    <x v="0"/>
    <x v="12"/>
    <x v="3"/>
  </r>
  <r>
    <x v="112"/>
    <x v="41"/>
    <x v="2"/>
    <x v="33"/>
    <x v="1"/>
    <x v="9"/>
    <x v="1"/>
    <x v="1"/>
    <x v="7"/>
    <x v="3"/>
    <x v="1"/>
    <x v="1"/>
    <x v="220"/>
    <x v="35"/>
    <x v="0"/>
    <x v="3"/>
    <x v="6"/>
    <x v="0"/>
    <x v="2"/>
    <x v="120"/>
    <x v="29"/>
    <x v="9"/>
    <x v="69"/>
    <x v="1"/>
    <x v="12"/>
    <x v="3"/>
  </r>
  <r>
    <x v="113"/>
    <x v="41"/>
    <x v="17"/>
    <x v="1"/>
    <x v="9"/>
    <x v="5"/>
    <x v="1"/>
    <x v="4"/>
    <x v="2"/>
    <x v="2"/>
    <x v="2"/>
    <x v="1"/>
    <x v="168"/>
    <x v="19"/>
    <x v="0"/>
    <x v="3"/>
    <x v="6"/>
    <x v="0"/>
    <x v="9"/>
    <x v="120"/>
    <x v="2"/>
    <x v="5"/>
    <x v="120"/>
    <x v="1"/>
    <x v="12"/>
    <x v="3"/>
  </r>
  <r>
    <x v="135"/>
    <x v="42"/>
    <x v="48"/>
    <x v="39"/>
    <x v="4"/>
    <x v="0"/>
    <x v="0"/>
    <x v="3"/>
    <x v="0"/>
    <x v="0"/>
    <x v="3"/>
    <x v="2"/>
    <x v="29"/>
    <x v="8"/>
    <x v="0"/>
    <x v="3"/>
    <x v="6"/>
    <x v="2"/>
    <x v="31"/>
    <x v="119"/>
    <x v="40"/>
    <x v="0"/>
    <x v="170"/>
    <x v="1"/>
    <x v="12"/>
    <x v="3"/>
  </r>
  <r>
    <x v="17"/>
    <x v="43"/>
    <x v="12"/>
    <x v="22"/>
    <x v="2"/>
    <x v="4"/>
    <x v="1"/>
    <x v="0"/>
    <x v="3"/>
    <x v="0"/>
    <x v="0"/>
    <x v="2"/>
    <x v="118"/>
    <x v="4"/>
    <x v="0"/>
    <x v="3"/>
    <x v="6"/>
    <x v="1"/>
    <x v="17"/>
    <x v="118"/>
    <x v="20"/>
    <x v="4"/>
    <x v="8"/>
    <x v="1"/>
    <x v="12"/>
    <x v="3"/>
  </r>
  <r>
    <x v="140"/>
    <x v="43"/>
    <x v="32"/>
    <x v="14"/>
    <x v="6"/>
    <x v="3"/>
    <x v="2"/>
    <x v="0"/>
    <x v="6"/>
    <x v="1"/>
    <x v="2"/>
    <x v="1"/>
    <x v="115"/>
    <x v="14"/>
    <x v="0"/>
    <x v="3"/>
    <x v="6"/>
    <x v="1"/>
    <x v="18"/>
    <x v="118"/>
    <x v="14"/>
    <x v="3"/>
    <x v="122"/>
    <x v="0"/>
    <x v="12"/>
    <x v="3"/>
  </r>
  <r>
    <x v="96"/>
    <x v="44"/>
    <x v="32"/>
    <x v="14"/>
    <x v="5"/>
    <x v="8"/>
    <x v="2"/>
    <x v="1"/>
    <x v="4"/>
    <x v="0"/>
    <x v="2"/>
    <x v="0"/>
    <x v="38"/>
    <x v="18"/>
    <x v="0"/>
    <x v="3"/>
    <x v="6"/>
    <x v="2"/>
    <x v="30"/>
    <x v="117"/>
    <x v="14"/>
    <x v="8"/>
    <x v="119"/>
    <x v="1"/>
    <x v="12"/>
    <x v="3"/>
  </r>
  <r>
    <x v="168"/>
    <x v="45"/>
    <x v="46"/>
    <x v="16"/>
    <x v="4"/>
    <x v="0"/>
    <x v="0"/>
    <x v="2"/>
    <x v="0"/>
    <x v="1"/>
    <x v="4"/>
    <x v="0"/>
    <x v="162"/>
    <x v="5"/>
    <x v="0"/>
    <x v="3"/>
    <x v="6"/>
    <x v="0"/>
    <x v="10"/>
    <x v="116"/>
    <x v="16"/>
    <x v="0"/>
    <x v="218"/>
    <x v="0"/>
    <x v="12"/>
    <x v="3"/>
  </r>
  <r>
    <x v="215"/>
    <x v="45"/>
    <x v="40"/>
    <x v="38"/>
    <x v="7"/>
    <x v="1"/>
    <x v="2"/>
    <x v="2"/>
    <x v="3"/>
    <x v="0"/>
    <x v="0"/>
    <x v="1"/>
    <x v="179"/>
    <x v="20"/>
    <x v="0"/>
    <x v="3"/>
    <x v="6"/>
    <x v="0"/>
    <x v="8"/>
    <x v="116"/>
    <x v="37"/>
    <x v="1"/>
    <x v="13"/>
    <x v="1"/>
    <x v="12"/>
    <x v="3"/>
  </r>
  <r>
    <x v="130"/>
    <x v="46"/>
    <x v="25"/>
    <x v="24"/>
    <x v="5"/>
    <x v="8"/>
    <x v="2"/>
    <x v="2"/>
    <x v="4"/>
    <x v="0"/>
    <x v="2"/>
    <x v="1"/>
    <x v="192"/>
    <x v="23"/>
    <x v="0"/>
    <x v="3"/>
    <x v="6"/>
    <x v="0"/>
    <x v="6"/>
    <x v="115"/>
    <x v="24"/>
    <x v="8"/>
    <x v="121"/>
    <x v="1"/>
    <x v="12"/>
    <x v="3"/>
  </r>
  <r>
    <x v="161"/>
    <x v="47"/>
    <x v="39"/>
    <x v="45"/>
    <x v="0"/>
    <x v="6"/>
    <x v="1"/>
    <x v="0"/>
    <x v="8"/>
    <x v="0"/>
    <x v="0"/>
    <x v="2"/>
    <x v="175"/>
    <x v="30"/>
    <x v="0"/>
    <x v="3"/>
    <x v="6"/>
    <x v="0"/>
    <x v="9"/>
    <x v="114"/>
    <x v="42"/>
    <x v="6"/>
    <x v="11"/>
    <x v="1"/>
    <x v="12"/>
    <x v="3"/>
  </r>
  <r>
    <x v="243"/>
    <x v="48"/>
    <x v="12"/>
    <x v="22"/>
    <x v="0"/>
    <x v="6"/>
    <x v="1"/>
    <x v="4"/>
    <x v="8"/>
    <x v="2"/>
    <x v="3"/>
    <x v="2"/>
    <x v="116"/>
    <x v="43"/>
    <x v="0"/>
    <x v="3"/>
    <x v="6"/>
    <x v="1"/>
    <x v="18"/>
    <x v="113"/>
    <x v="20"/>
    <x v="6"/>
    <x v="173"/>
    <x v="1"/>
    <x v="12"/>
    <x v="3"/>
  </r>
  <r>
    <x v="5"/>
    <x v="49"/>
    <x v="6"/>
    <x v="7"/>
    <x v="4"/>
    <x v="0"/>
    <x v="0"/>
    <x v="1"/>
    <x v="0"/>
    <x v="0"/>
    <x v="2"/>
    <x v="2"/>
    <x v="166"/>
    <x v="3"/>
    <x v="0"/>
    <x v="3"/>
    <x v="6"/>
    <x v="0"/>
    <x v="10"/>
    <x v="112"/>
    <x v="8"/>
    <x v="0"/>
    <x v="116"/>
    <x v="1"/>
    <x v="12"/>
    <x v="3"/>
  </r>
  <r>
    <x v="214"/>
    <x v="49"/>
    <x v="46"/>
    <x v="16"/>
    <x v="8"/>
    <x v="7"/>
    <x v="1"/>
    <x v="3"/>
    <x v="5"/>
    <x v="2"/>
    <x v="0"/>
    <x v="2"/>
    <x v="161"/>
    <x v="32"/>
    <x v="0"/>
    <x v="3"/>
    <x v="6"/>
    <x v="1"/>
    <x v="11"/>
    <x v="112"/>
    <x v="16"/>
    <x v="7"/>
    <x v="12"/>
    <x v="1"/>
    <x v="12"/>
    <x v="3"/>
  </r>
  <r>
    <x v="79"/>
    <x v="50"/>
    <x v="17"/>
    <x v="1"/>
    <x v="8"/>
    <x v="7"/>
    <x v="1"/>
    <x v="1"/>
    <x v="5"/>
    <x v="0"/>
    <x v="2"/>
    <x v="1"/>
    <x v="169"/>
    <x v="21"/>
    <x v="0"/>
    <x v="3"/>
    <x v="6"/>
    <x v="0"/>
    <x v="10"/>
    <x v="111"/>
    <x v="2"/>
    <x v="7"/>
    <x v="117"/>
    <x v="1"/>
    <x v="12"/>
    <x v="3"/>
  </r>
  <r>
    <x v="227"/>
    <x v="50"/>
    <x v="18"/>
    <x v="6"/>
    <x v="6"/>
    <x v="3"/>
    <x v="2"/>
    <x v="0"/>
    <x v="6"/>
    <x v="0"/>
    <x v="3"/>
    <x v="0"/>
    <x v="137"/>
    <x v="14"/>
    <x v="0"/>
    <x v="3"/>
    <x v="6"/>
    <x v="1"/>
    <x v="16"/>
    <x v="111"/>
    <x v="7"/>
    <x v="3"/>
    <x v="172"/>
    <x v="1"/>
    <x v="12"/>
    <x v="3"/>
  </r>
  <r>
    <x v="156"/>
    <x v="51"/>
    <x v="24"/>
    <x v="32"/>
    <x v="9"/>
    <x v="5"/>
    <x v="1"/>
    <x v="1"/>
    <x v="2"/>
    <x v="3"/>
    <x v="3"/>
    <x v="0"/>
    <x v="135"/>
    <x v="6"/>
    <x v="0"/>
    <x v="3"/>
    <x v="6"/>
    <x v="1"/>
    <x v="16"/>
    <x v="110"/>
    <x v="30"/>
    <x v="5"/>
    <x v="171"/>
    <x v="1"/>
    <x v="12"/>
    <x v="3"/>
  </r>
  <r>
    <x v="1"/>
    <x v="51"/>
    <x v="18"/>
    <x v="6"/>
    <x v="6"/>
    <x v="3"/>
    <x v="2"/>
    <x v="2"/>
    <x v="6"/>
    <x v="0"/>
    <x v="0"/>
    <x v="0"/>
    <x v="84"/>
    <x v="29"/>
    <x v="0"/>
    <x v="3"/>
    <x v="6"/>
    <x v="2"/>
    <x v="24"/>
    <x v="110"/>
    <x v="7"/>
    <x v="3"/>
    <x v="7"/>
    <x v="1"/>
    <x v="12"/>
    <x v="3"/>
  </r>
  <r>
    <x v="216"/>
    <x v="52"/>
    <x v="24"/>
    <x v="32"/>
    <x v="1"/>
    <x v="9"/>
    <x v="1"/>
    <x v="1"/>
    <x v="7"/>
    <x v="1"/>
    <x v="2"/>
    <x v="1"/>
    <x v="141"/>
    <x v="35"/>
    <x v="0"/>
    <x v="3"/>
    <x v="6"/>
    <x v="1"/>
    <x v="15"/>
    <x v="109"/>
    <x v="30"/>
    <x v="9"/>
    <x v="123"/>
    <x v="1"/>
    <x v="12"/>
    <x v="3"/>
  </r>
  <r>
    <x v="248"/>
    <x v="53"/>
    <x v="29"/>
    <x v="18"/>
    <x v="0"/>
    <x v="6"/>
    <x v="1"/>
    <x v="3"/>
    <x v="8"/>
    <x v="2"/>
    <x v="3"/>
    <x v="2"/>
    <x v="32"/>
    <x v="42"/>
    <x v="0"/>
    <x v="3"/>
    <x v="6"/>
    <x v="2"/>
    <x v="31"/>
    <x v="108"/>
    <x v="18"/>
    <x v="6"/>
    <x v="174"/>
    <x v="1"/>
    <x v="12"/>
    <x v="3"/>
  </r>
  <r>
    <x v="64"/>
    <x v="54"/>
    <x v="15"/>
    <x v="12"/>
    <x v="7"/>
    <x v="1"/>
    <x v="2"/>
    <x v="1"/>
    <x v="3"/>
    <x v="1"/>
    <x v="4"/>
    <x v="0"/>
    <x v="39"/>
    <x v="13"/>
    <x v="0"/>
    <x v="4"/>
    <x v="2"/>
    <x v="2"/>
    <x v="30"/>
    <x v="107"/>
    <x v="11"/>
    <x v="1"/>
    <x v="220"/>
    <x v="0"/>
    <x v="12"/>
    <x v="4"/>
  </r>
  <r>
    <x v="175"/>
    <x v="55"/>
    <x v="43"/>
    <x v="5"/>
    <x v="7"/>
    <x v="1"/>
    <x v="2"/>
    <x v="1"/>
    <x v="3"/>
    <x v="2"/>
    <x v="1"/>
    <x v="2"/>
    <x v="70"/>
    <x v="13"/>
    <x v="0"/>
    <x v="4"/>
    <x v="2"/>
    <x v="2"/>
    <x v="26"/>
    <x v="106"/>
    <x v="5"/>
    <x v="1"/>
    <x v="74"/>
    <x v="1"/>
    <x v="12"/>
    <x v="4"/>
  </r>
  <r>
    <x v="100"/>
    <x v="56"/>
    <x v="9"/>
    <x v="31"/>
    <x v="9"/>
    <x v="5"/>
    <x v="1"/>
    <x v="0"/>
    <x v="2"/>
    <x v="1"/>
    <x v="2"/>
    <x v="2"/>
    <x v="222"/>
    <x v="2"/>
    <x v="0"/>
    <x v="4"/>
    <x v="2"/>
    <x v="0"/>
    <x v="2"/>
    <x v="105"/>
    <x v="31"/>
    <x v="5"/>
    <x v="126"/>
    <x v="1"/>
    <x v="12"/>
    <x v="4"/>
  </r>
  <r>
    <x v="204"/>
    <x v="57"/>
    <x v="24"/>
    <x v="32"/>
    <x v="6"/>
    <x v="3"/>
    <x v="2"/>
    <x v="4"/>
    <x v="6"/>
    <x v="1"/>
    <x v="2"/>
    <x v="0"/>
    <x v="131"/>
    <x v="36"/>
    <x v="0"/>
    <x v="4"/>
    <x v="2"/>
    <x v="1"/>
    <x v="17"/>
    <x v="104"/>
    <x v="30"/>
    <x v="3"/>
    <x v="127"/>
    <x v="1"/>
    <x v="12"/>
    <x v="4"/>
  </r>
  <r>
    <x v="19"/>
    <x v="58"/>
    <x v="6"/>
    <x v="7"/>
    <x v="2"/>
    <x v="4"/>
    <x v="1"/>
    <x v="3"/>
    <x v="3"/>
    <x v="2"/>
    <x v="3"/>
    <x v="1"/>
    <x v="100"/>
    <x v="22"/>
    <x v="0"/>
    <x v="4"/>
    <x v="2"/>
    <x v="1"/>
    <x v="21"/>
    <x v="103"/>
    <x v="8"/>
    <x v="4"/>
    <x v="175"/>
    <x v="1"/>
    <x v="12"/>
    <x v="4"/>
  </r>
  <r>
    <x v="74"/>
    <x v="58"/>
    <x v="19"/>
    <x v="30"/>
    <x v="8"/>
    <x v="7"/>
    <x v="1"/>
    <x v="4"/>
    <x v="5"/>
    <x v="3"/>
    <x v="1"/>
    <x v="1"/>
    <x v="97"/>
    <x v="34"/>
    <x v="0"/>
    <x v="4"/>
    <x v="2"/>
    <x v="2"/>
    <x v="23"/>
    <x v="103"/>
    <x v="33"/>
    <x v="7"/>
    <x v="71"/>
    <x v="1"/>
    <x v="12"/>
    <x v="4"/>
  </r>
  <r>
    <x v="97"/>
    <x v="58"/>
    <x v="25"/>
    <x v="24"/>
    <x v="8"/>
    <x v="7"/>
    <x v="1"/>
    <x v="2"/>
    <x v="5"/>
    <x v="3"/>
    <x v="2"/>
    <x v="1"/>
    <x v="19"/>
    <x v="27"/>
    <x v="0"/>
    <x v="4"/>
    <x v="2"/>
    <x v="2"/>
    <x v="33"/>
    <x v="103"/>
    <x v="24"/>
    <x v="7"/>
    <x v="125"/>
    <x v="1"/>
    <x v="12"/>
    <x v="4"/>
  </r>
  <r>
    <x v="246"/>
    <x v="58"/>
    <x v="45"/>
    <x v="25"/>
    <x v="5"/>
    <x v="8"/>
    <x v="2"/>
    <x v="3"/>
    <x v="4"/>
    <x v="0"/>
    <x v="2"/>
    <x v="2"/>
    <x v="17"/>
    <x v="28"/>
    <x v="0"/>
    <x v="4"/>
    <x v="2"/>
    <x v="2"/>
    <x v="33"/>
    <x v="103"/>
    <x v="23"/>
    <x v="8"/>
    <x v="128"/>
    <x v="1"/>
    <x v="12"/>
    <x v="4"/>
  </r>
  <r>
    <x v="26"/>
    <x v="59"/>
    <x v="27"/>
    <x v="2"/>
    <x v="5"/>
    <x v="8"/>
    <x v="2"/>
    <x v="4"/>
    <x v="4"/>
    <x v="0"/>
    <x v="2"/>
    <x v="1"/>
    <x v="138"/>
    <x v="31"/>
    <x v="0"/>
    <x v="4"/>
    <x v="2"/>
    <x v="1"/>
    <x v="16"/>
    <x v="102"/>
    <x v="1"/>
    <x v="8"/>
    <x v="124"/>
    <x v="1"/>
    <x v="12"/>
    <x v="4"/>
  </r>
  <r>
    <x v="139"/>
    <x v="60"/>
    <x v="24"/>
    <x v="32"/>
    <x v="9"/>
    <x v="5"/>
    <x v="1"/>
    <x v="1"/>
    <x v="2"/>
    <x v="0"/>
    <x v="1"/>
    <x v="1"/>
    <x v="132"/>
    <x v="6"/>
    <x v="0"/>
    <x v="4"/>
    <x v="2"/>
    <x v="1"/>
    <x v="17"/>
    <x v="101"/>
    <x v="30"/>
    <x v="5"/>
    <x v="73"/>
    <x v="1"/>
    <x v="12"/>
    <x v="4"/>
  </r>
  <r>
    <x v="131"/>
    <x v="61"/>
    <x v="46"/>
    <x v="16"/>
    <x v="0"/>
    <x v="6"/>
    <x v="1"/>
    <x v="4"/>
    <x v="8"/>
    <x v="2"/>
    <x v="1"/>
    <x v="0"/>
    <x v="34"/>
    <x v="43"/>
    <x v="0"/>
    <x v="4"/>
    <x v="2"/>
    <x v="2"/>
    <x v="31"/>
    <x v="100"/>
    <x v="16"/>
    <x v="6"/>
    <x v="72"/>
    <x v="1"/>
    <x v="12"/>
    <x v="4"/>
  </r>
  <r>
    <x v="30"/>
    <x v="61"/>
    <x v="35"/>
    <x v="35"/>
    <x v="2"/>
    <x v="4"/>
    <x v="1"/>
    <x v="2"/>
    <x v="3"/>
    <x v="3"/>
    <x v="1"/>
    <x v="0"/>
    <x v="47"/>
    <x v="20"/>
    <x v="0"/>
    <x v="4"/>
    <x v="2"/>
    <x v="2"/>
    <x v="30"/>
    <x v="100"/>
    <x v="34"/>
    <x v="4"/>
    <x v="70"/>
    <x v="1"/>
    <x v="12"/>
    <x v="4"/>
  </r>
  <r>
    <x v="235"/>
    <x v="62"/>
    <x v="43"/>
    <x v="5"/>
    <x v="7"/>
    <x v="1"/>
    <x v="2"/>
    <x v="4"/>
    <x v="3"/>
    <x v="1"/>
    <x v="0"/>
    <x v="0"/>
    <x v="208"/>
    <x v="26"/>
    <x v="0"/>
    <x v="4"/>
    <x v="2"/>
    <x v="0"/>
    <x v="6"/>
    <x v="99"/>
    <x v="5"/>
    <x v="1"/>
    <x v="16"/>
    <x v="1"/>
    <x v="12"/>
    <x v="4"/>
  </r>
  <r>
    <x v="0"/>
    <x v="63"/>
    <x v="38"/>
    <x v="27"/>
    <x v="3"/>
    <x v="2"/>
    <x v="0"/>
    <x v="2"/>
    <x v="1"/>
    <x v="0"/>
    <x v="0"/>
    <x v="1"/>
    <x v="95"/>
    <x v="9"/>
    <x v="0"/>
    <x v="4"/>
    <x v="2"/>
    <x v="2"/>
    <x v="23"/>
    <x v="98"/>
    <x v="28"/>
    <x v="2"/>
    <x v="14"/>
    <x v="0"/>
    <x v="12"/>
    <x v="4"/>
  </r>
  <r>
    <x v="36"/>
    <x v="63"/>
    <x v="34"/>
    <x v="17"/>
    <x v="8"/>
    <x v="7"/>
    <x v="1"/>
    <x v="1"/>
    <x v="5"/>
    <x v="0"/>
    <x v="3"/>
    <x v="2"/>
    <x v="45"/>
    <x v="21"/>
    <x v="0"/>
    <x v="4"/>
    <x v="2"/>
    <x v="2"/>
    <x v="30"/>
    <x v="98"/>
    <x v="17"/>
    <x v="7"/>
    <x v="176"/>
    <x v="1"/>
    <x v="12"/>
    <x v="4"/>
  </r>
  <r>
    <x v="57"/>
    <x v="64"/>
    <x v="46"/>
    <x v="16"/>
    <x v="1"/>
    <x v="9"/>
    <x v="1"/>
    <x v="0"/>
    <x v="7"/>
    <x v="0"/>
    <x v="0"/>
    <x v="1"/>
    <x v="27"/>
    <x v="25"/>
    <x v="0"/>
    <x v="4"/>
    <x v="2"/>
    <x v="2"/>
    <x v="33"/>
    <x v="97"/>
    <x v="16"/>
    <x v="9"/>
    <x v="15"/>
    <x v="1"/>
    <x v="12"/>
    <x v="4"/>
  </r>
  <r>
    <x v="169"/>
    <x v="64"/>
    <x v="33"/>
    <x v="3"/>
    <x v="2"/>
    <x v="4"/>
    <x v="1"/>
    <x v="2"/>
    <x v="3"/>
    <x v="0"/>
    <x v="4"/>
    <x v="1"/>
    <x v="183"/>
    <x v="20"/>
    <x v="0"/>
    <x v="4"/>
    <x v="2"/>
    <x v="0"/>
    <x v="9"/>
    <x v="97"/>
    <x v="4"/>
    <x v="4"/>
    <x v="221"/>
    <x v="0"/>
    <x v="12"/>
    <x v="4"/>
  </r>
  <r>
    <x v="247"/>
    <x v="65"/>
    <x v="31"/>
    <x v="43"/>
    <x v="1"/>
    <x v="9"/>
    <x v="1"/>
    <x v="1"/>
    <x v="7"/>
    <x v="1"/>
    <x v="2"/>
    <x v="1"/>
    <x v="8"/>
    <x v="35"/>
    <x v="0"/>
    <x v="4"/>
    <x v="2"/>
    <x v="3"/>
    <x v="35"/>
    <x v="96"/>
    <x v="45"/>
    <x v="9"/>
    <x v="129"/>
    <x v="0"/>
    <x v="12"/>
    <x v="4"/>
  </r>
  <r>
    <x v="98"/>
    <x v="66"/>
    <x v="33"/>
    <x v="3"/>
    <x v="8"/>
    <x v="7"/>
    <x v="1"/>
    <x v="0"/>
    <x v="5"/>
    <x v="1"/>
    <x v="4"/>
    <x v="1"/>
    <x v="72"/>
    <x v="10"/>
    <x v="0"/>
    <x v="5"/>
    <x v="12"/>
    <x v="2"/>
    <x v="26"/>
    <x v="95"/>
    <x v="4"/>
    <x v="7"/>
    <x v="222"/>
    <x v="1"/>
    <x v="12"/>
    <x v="5"/>
  </r>
  <r>
    <x v="73"/>
    <x v="66"/>
    <x v="22"/>
    <x v="37"/>
    <x v="8"/>
    <x v="7"/>
    <x v="1"/>
    <x v="0"/>
    <x v="5"/>
    <x v="2"/>
    <x v="2"/>
    <x v="1"/>
    <x v="212"/>
    <x v="10"/>
    <x v="0"/>
    <x v="5"/>
    <x v="12"/>
    <x v="0"/>
    <x v="5"/>
    <x v="95"/>
    <x v="35"/>
    <x v="7"/>
    <x v="131"/>
    <x v="1"/>
    <x v="12"/>
    <x v="5"/>
  </r>
  <r>
    <x v="224"/>
    <x v="67"/>
    <x v="38"/>
    <x v="27"/>
    <x v="1"/>
    <x v="9"/>
    <x v="1"/>
    <x v="1"/>
    <x v="7"/>
    <x v="2"/>
    <x v="0"/>
    <x v="1"/>
    <x v="109"/>
    <x v="35"/>
    <x v="0"/>
    <x v="5"/>
    <x v="12"/>
    <x v="1"/>
    <x v="20"/>
    <x v="94"/>
    <x v="28"/>
    <x v="9"/>
    <x v="20"/>
    <x v="1"/>
    <x v="12"/>
    <x v="5"/>
  </r>
  <r>
    <x v="99"/>
    <x v="68"/>
    <x v="30"/>
    <x v="46"/>
    <x v="4"/>
    <x v="0"/>
    <x v="0"/>
    <x v="2"/>
    <x v="0"/>
    <x v="1"/>
    <x v="0"/>
    <x v="1"/>
    <x v="80"/>
    <x v="5"/>
    <x v="0"/>
    <x v="5"/>
    <x v="12"/>
    <x v="2"/>
    <x v="26"/>
    <x v="93"/>
    <x v="46"/>
    <x v="0"/>
    <x v="17"/>
    <x v="1"/>
    <x v="12"/>
    <x v="5"/>
  </r>
  <r>
    <x v="141"/>
    <x v="69"/>
    <x v="1"/>
    <x v="13"/>
    <x v="4"/>
    <x v="0"/>
    <x v="0"/>
    <x v="2"/>
    <x v="0"/>
    <x v="3"/>
    <x v="1"/>
    <x v="2"/>
    <x v="88"/>
    <x v="5"/>
    <x v="0"/>
    <x v="5"/>
    <x v="12"/>
    <x v="2"/>
    <x v="25"/>
    <x v="92"/>
    <x v="13"/>
    <x v="0"/>
    <x v="80"/>
    <x v="1"/>
    <x v="12"/>
    <x v="5"/>
  </r>
  <r>
    <x v="111"/>
    <x v="69"/>
    <x v="7"/>
    <x v="20"/>
    <x v="3"/>
    <x v="2"/>
    <x v="0"/>
    <x v="3"/>
    <x v="1"/>
    <x v="0"/>
    <x v="2"/>
    <x v="0"/>
    <x v="35"/>
    <x v="15"/>
    <x v="0"/>
    <x v="5"/>
    <x v="12"/>
    <x v="2"/>
    <x v="32"/>
    <x v="92"/>
    <x v="22"/>
    <x v="2"/>
    <x v="132"/>
    <x v="1"/>
    <x v="12"/>
    <x v="5"/>
  </r>
  <r>
    <x v="160"/>
    <x v="70"/>
    <x v="16"/>
    <x v="4"/>
    <x v="3"/>
    <x v="2"/>
    <x v="0"/>
    <x v="0"/>
    <x v="1"/>
    <x v="0"/>
    <x v="4"/>
    <x v="0"/>
    <x v="74"/>
    <x v="1"/>
    <x v="0"/>
    <x v="5"/>
    <x v="12"/>
    <x v="2"/>
    <x v="26"/>
    <x v="91"/>
    <x v="3"/>
    <x v="2"/>
    <x v="223"/>
    <x v="1"/>
    <x v="12"/>
    <x v="5"/>
  </r>
  <r>
    <x v="107"/>
    <x v="71"/>
    <x v="23"/>
    <x v="9"/>
    <x v="6"/>
    <x v="3"/>
    <x v="2"/>
    <x v="2"/>
    <x v="6"/>
    <x v="1"/>
    <x v="0"/>
    <x v="1"/>
    <x v="26"/>
    <x v="29"/>
    <x v="0"/>
    <x v="5"/>
    <x v="12"/>
    <x v="2"/>
    <x v="33"/>
    <x v="90"/>
    <x v="9"/>
    <x v="3"/>
    <x v="18"/>
    <x v="1"/>
    <x v="12"/>
    <x v="5"/>
  </r>
  <r>
    <x v="210"/>
    <x v="72"/>
    <x v="45"/>
    <x v="25"/>
    <x v="9"/>
    <x v="5"/>
    <x v="1"/>
    <x v="1"/>
    <x v="2"/>
    <x v="1"/>
    <x v="3"/>
    <x v="1"/>
    <x v="66"/>
    <x v="6"/>
    <x v="0"/>
    <x v="5"/>
    <x v="12"/>
    <x v="2"/>
    <x v="28"/>
    <x v="89"/>
    <x v="23"/>
    <x v="5"/>
    <x v="179"/>
    <x v="1"/>
    <x v="12"/>
    <x v="5"/>
  </r>
  <r>
    <x v="4"/>
    <x v="73"/>
    <x v="41"/>
    <x v="42"/>
    <x v="2"/>
    <x v="4"/>
    <x v="1"/>
    <x v="3"/>
    <x v="3"/>
    <x v="0"/>
    <x v="2"/>
    <x v="0"/>
    <x v="118"/>
    <x v="22"/>
    <x v="0"/>
    <x v="5"/>
    <x v="12"/>
    <x v="1"/>
    <x v="20"/>
    <x v="88"/>
    <x v="38"/>
    <x v="4"/>
    <x v="130"/>
    <x v="0"/>
    <x v="12"/>
    <x v="5"/>
  </r>
  <r>
    <x v="194"/>
    <x v="74"/>
    <x v="25"/>
    <x v="24"/>
    <x v="8"/>
    <x v="7"/>
    <x v="1"/>
    <x v="1"/>
    <x v="5"/>
    <x v="3"/>
    <x v="3"/>
    <x v="0"/>
    <x v="140"/>
    <x v="21"/>
    <x v="0"/>
    <x v="5"/>
    <x v="12"/>
    <x v="1"/>
    <x v="17"/>
    <x v="87"/>
    <x v="24"/>
    <x v="7"/>
    <x v="178"/>
    <x v="1"/>
    <x v="12"/>
    <x v="5"/>
  </r>
  <r>
    <x v="53"/>
    <x v="74"/>
    <x v="3"/>
    <x v="44"/>
    <x v="5"/>
    <x v="8"/>
    <x v="2"/>
    <x v="3"/>
    <x v="4"/>
    <x v="2"/>
    <x v="1"/>
    <x v="0"/>
    <x v="17"/>
    <x v="28"/>
    <x v="0"/>
    <x v="5"/>
    <x v="12"/>
    <x v="2"/>
    <x v="34"/>
    <x v="87"/>
    <x v="43"/>
    <x v="8"/>
    <x v="75"/>
    <x v="1"/>
    <x v="12"/>
    <x v="5"/>
  </r>
  <r>
    <x v="76"/>
    <x v="75"/>
    <x v="18"/>
    <x v="6"/>
    <x v="9"/>
    <x v="5"/>
    <x v="1"/>
    <x v="4"/>
    <x v="2"/>
    <x v="1"/>
    <x v="1"/>
    <x v="1"/>
    <x v="16"/>
    <x v="19"/>
    <x v="0"/>
    <x v="5"/>
    <x v="12"/>
    <x v="3"/>
    <x v="35"/>
    <x v="86"/>
    <x v="7"/>
    <x v="5"/>
    <x v="76"/>
    <x v="1"/>
    <x v="12"/>
    <x v="5"/>
  </r>
  <r>
    <x v="110"/>
    <x v="75"/>
    <x v="10"/>
    <x v="49"/>
    <x v="2"/>
    <x v="4"/>
    <x v="1"/>
    <x v="0"/>
    <x v="3"/>
    <x v="3"/>
    <x v="1"/>
    <x v="2"/>
    <x v="24"/>
    <x v="4"/>
    <x v="0"/>
    <x v="5"/>
    <x v="12"/>
    <x v="2"/>
    <x v="34"/>
    <x v="86"/>
    <x v="48"/>
    <x v="4"/>
    <x v="77"/>
    <x v="0"/>
    <x v="12"/>
    <x v="5"/>
  </r>
  <r>
    <x v="122"/>
    <x v="75"/>
    <x v="40"/>
    <x v="38"/>
    <x v="1"/>
    <x v="9"/>
    <x v="1"/>
    <x v="3"/>
    <x v="7"/>
    <x v="3"/>
    <x v="3"/>
    <x v="0"/>
    <x v="61"/>
    <x v="40"/>
    <x v="0"/>
    <x v="5"/>
    <x v="12"/>
    <x v="2"/>
    <x v="29"/>
    <x v="86"/>
    <x v="37"/>
    <x v="9"/>
    <x v="177"/>
    <x v="1"/>
    <x v="12"/>
    <x v="5"/>
  </r>
  <r>
    <x v="176"/>
    <x v="76"/>
    <x v="31"/>
    <x v="43"/>
    <x v="0"/>
    <x v="6"/>
    <x v="1"/>
    <x v="2"/>
    <x v="8"/>
    <x v="1"/>
    <x v="2"/>
    <x v="2"/>
    <x v="167"/>
    <x v="39"/>
    <x v="0"/>
    <x v="5"/>
    <x v="12"/>
    <x v="1"/>
    <x v="12"/>
    <x v="85"/>
    <x v="45"/>
    <x v="6"/>
    <x v="133"/>
    <x v="1"/>
    <x v="12"/>
    <x v="5"/>
  </r>
  <r>
    <x v="118"/>
    <x v="77"/>
    <x v="13"/>
    <x v="28"/>
    <x v="7"/>
    <x v="1"/>
    <x v="2"/>
    <x v="2"/>
    <x v="3"/>
    <x v="3"/>
    <x v="1"/>
    <x v="0"/>
    <x v="114"/>
    <x v="20"/>
    <x v="0"/>
    <x v="5"/>
    <x v="12"/>
    <x v="1"/>
    <x v="21"/>
    <x v="84"/>
    <x v="27"/>
    <x v="1"/>
    <x v="78"/>
    <x v="1"/>
    <x v="12"/>
    <x v="5"/>
  </r>
  <r>
    <x v="180"/>
    <x v="78"/>
    <x v="11"/>
    <x v="36"/>
    <x v="6"/>
    <x v="3"/>
    <x v="2"/>
    <x v="1"/>
    <x v="6"/>
    <x v="2"/>
    <x v="0"/>
    <x v="0"/>
    <x v="44"/>
    <x v="24"/>
    <x v="0"/>
    <x v="5"/>
    <x v="12"/>
    <x v="2"/>
    <x v="31"/>
    <x v="83"/>
    <x v="36"/>
    <x v="3"/>
    <x v="19"/>
    <x v="1"/>
    <x v="12"/>
    <x v="5"/>
  </r>
  <r>
    <x v="128"/>
    <x v="79"/>
    <x v="14"/>
    <x v="40"/>
    <x v="5"/>
    <x v="8"/>
    <x v="2"/>
    <x v="0"/>
    <x v="4"/>
    <x v="2"/>
    <x v="1"/>
    <x v="2"/>
    <x v="129"/>
    <x v="7"/>
    <x v="0"/>
    <x v="5"/>
    <x v="12"/>
    <x v="1"/>
    <x v="19"/>
    <x v="82"/>
    <x v="39"/>
    <x v="8"/>
    <x v="79"/>
    <x v="0"/>
    <x v="12"/>
    <x v="5"/>
  </r>
  <r>
    <x v="173"/>
    <x v="80"/>
    <x v="2"/>
    <x v="33"/>
    <x v="6"/>
    <x v="3"/>
    <x v="2"/>
    <x v="3"/>
    <x v="6"/>
    <x v="0"/>
    <x v="0"/>
    <x v="1"/>
    <x v="18"/>
    <x v="33"/>
    <x v="0"/>
    <x v="6"/>
    <x v="11"/>
    <x v="3"/>
    <x v="35"/>
    <x v="81"/>
    <x v="29"/>
    <x v="3"/>
    <x v="27"/>
    <x v="1"/>
    <x v="12"/>
    <x v="6"/>
  </r>
  <r>
    <x v="145"/>
    <x v="81"/>
    <x v="9"/>
    <x v="31"/>
    <x v="4"/>
    <x v="0"/>
    <x v="0"/>
    <x v="1"/>
    <x v="0"/>
    <x v="1"/>
    <x v="0"/>
    <x v="0"/>
    <x v="52"/>
    <x v="3"/>
    <x v="0"/>
    <x v="6"/>
    <x v="11"/>
    <x v="2"/>
    <x v="31"/>
    <x v="80"/>
    <x v="31"/>
    <x v="0"/>
    <x v="26"/>
    <x v="1"/>
    <x v="12"/>
    <x v="6"/>
  </r>
  <r>
    <x v="202"/>
    <x v="81"/>
    <x v="31"/>
    <x v="43"/>
    <x v="2"/>
    <x v="4"/>
    <x v="1"/>
    <x v="3"/>
    <x v="3"/>
    <x v="1"/>
    <x v="2"/>
    <x v="1"/>
    <x v="151"/>
    <x v="22"/>
    <x v="0"/>
    <x v="6"/>
    <x v="11"/>
    <x v="1"/>
    <x v="15"/>
    <x v="80"/>
    <x v="45"/>
    <x v="4"/>
    <x v="136"/>
    <x v="1"/>
    <x v="12"/>
    <x v="6"/>
  </r>
  <r>
    <x v="54"/>
    <x v="82"/>
    <x v="15"/>
    <x v="12"/>
    <x v="1"/>
    <x v="9"/>
    <x v="1"/>
    <x v="1"/>
    <x v="7"/>
    <x v="2"/>
    <x v="1"/>
    <x v="1"/>
    <x v="197"/>
    <x v="35"/>
    <x v="0"/>
    <x v="6"/>
    <x v="11"/>
    <x v="0"/>
    <x v="8"/>
    <x v="79"/>
    <x v="11"/>
    <x v="9"/>
    <x v="81"/>
    <x v="1"/>
    <x v="12"/>
    <x v="6"/>
  </r>
  <r>
    <x v="217"/>
    <x v="82"/>
    <x v="33"/>
    <x v="3"/>
    <x v="7"/>
    <x v="1"/>
    <x v="2"/>
    <x v="2"/>
    <x v="3"/>
    <x v="1"/>
    <x v="3"/>
    <x v="2"/>
    <x v="126"/>
    <x v="20"/>
    <x v="0"/>
    <x v="6"/>
    <x v="11"/>
    <x v="1"/>
    <x v="19"/>
    <x v="79"/>
    <x v="4"/>
    <x v="1"/>
    <x v="180"/>
    <x v="1"/>
    <x v="12"/>
    <x v="6"/>
  </r>
  <r>
    <x v="84"/>
    <x v="83"/>
    <x v="18"/>
    <x v="6"/>
    <x v="6"/>
    <x v="3"/>
    <x v="2"/>
    <x v="2"/>
    <x v="6"/>
    <x v="1"/>
    <x v="0"/>
    <x v="2"/>
    <x v="173"/>
    <x v="29"/>
    <x v="0"/>
    <x v="6"/>
    <x v="11"/>
    <x v="1"/>
    <x v="12"/>
    <x v="78"/>
    <x v="7"/>
    <x v="3"/>
    <x v="24"/>
    <x v="1"/>
    <x v="12"/>
    <x v="6"/>
  </r>
  <r>
    <x v="157"/>
    <x v="84"/>
    <x v="26"/>
    <x v="15"/>
    <x v="0"/>
    <x v="6"/>
    <x v="1"/>
    <x v="2"/>
    <x v="8"/>
    <x v="3"/>
    <x v="4"/>
    <x v="0"/>
    <x v="185"/>
    <x v="39"/>
    <x v="0"/>
    <x v="6"/>
    <x v="11"/>
    <x v="0"/>
    <x v="10"/>
    <x v="77"/>
    <x v="15"/>
    <x v="6"/>
    <x v="224"/>
    <x v="1"/>
    <x v="6"/>
    <x v="6"/>
  </r>
  <r>
    <x v="172"/>
    <x v="85"/>
    <x v="17"/>
    <x v="1"/>
    <x v="1"/>
    <x v="9"/>
    <x v="1"/>
    <x v="4"/>
    <x v="7"/>
    <x v="0"/>
    <x v="1"/>
    <x v="2"/>
    <x v="143"/>
    <x v="41"/>
    <x v="0"/>
    <x v="6"/>
    <x v="11"/>
    <x v="1"/>
    <x v="17"/>
    <x v="76"/>
    <x v="2"/>
    <x v="9"/>
    <x v="82"/>
    <x v="1"/>
    <x v="12"/>
    <x v="6"/>
  </r>
  <r>
    <x v="33"/>
    <x v="85"/>
    <x v="48"/>
    <x v="39"/>
    <x v="1"/>
    <x v="9"/>
    <x v="1"/>
    <x v="3"/>
    <x v="7"/>
    <x v="1"/>
    <x v="0"/>
    <x v="0"/>
    <x v="219"/>
    <x v="40"/>
    <x v="0"/>
    <x v="6"/>
    <x v="11"/>
    <x v="0"/>
    <x v="5"/>
    <x v="76"/>
    <x v="40"/>
    <x v="9"/>
    <x v="22"/>
    <x v="1"/>
    <x v="12"/>
    <x v="6"/>
  </r>
  <r>
    <x v="188"/>
    <x v="85"/>
    <x v="39"/>
    <x v="45"/>
    <x v="0"/>
    <x v="6"/>
    <x v="1"/>
    <x v="0"/>
    <x v="8"/>
    <x v="1"/>
    <x v="1"/>
    <x v="2"/>
    <x v="217"/>
    <x v="30"/>
    <x v="0"/>
    <x v="6"/>
    <x v="11"/>
    <x v="0"/>
    <x v="5"/>
    <x v="76"/>
    <x v="42"/>
    <x v="6"/>
    <x v="83"/>
    <x v="1"/>
    <x v="12"/>
    <x v="6"/>
  </r>
  <r>
    <x v="189"/>
    <x v="86"/>
    <x v="38"/>
    <x v="27"/>
    <x v="2"/>
    <x v="4"/>
    <x v="1"/>
    <x v="1"/>
    <x v="3"/>
    <x v="1"/>
    <x v="4"/>
    <x v="0"/>
    <x v="120"/>
    <x v="13"/>
    <x v="0"/>
    <x v="6"/>
    <x v="11"/>
    <x v="1"/>
    <x v="20"/>
    <x v="75"/>
    <x v="28"/>
    <x v="4"/>
    <x v="225"/>
    <x v="1"/>
    <x v="12"/>
    <x v="6"/>
  </r>
  <r>
    <x v="78"/>
    <x v="87"/>
    <x v="38"/>
    <x v="27"/>
    <x v="9"/>
    <x v="5"/>
    <x v="1"/>
    <x v="2"/>
    <x v="2"/>
    <x v="3"/>
    <x v="0"/>
    <x v="0"/>
    <x v="41"/>
    <x v="11"/>
    <x v="0"/>
    <x v="6"/>
    <x v="11"/>
    <x v="2"/>
    <x v="33"/>
    <x v="74"/>
    <x v="28"/>
    <x v="5"/>
    <x v="23"/>
    <x v="1"/>
    <x v="12"/>
    <x v="6"/>
  </r>
  <r>
    <x v="94"/>
    <x v="88"/>
    <x v="45"/>
    <x v="25"/>
    <x v="2"/>
    <x v="4"/>
    <x v="1"/>
    <x v="1"/>
    <x v="3"/>
    <x v="3"/>
    <x v="0"/>
    <x v="0"/>
    <x v="22"/>
    <x v="13"/>
    <x v="0"/>
    <x v="6"/>
    <x v="11"/>
    <x v="3"/>
    <x v="35"/>
    <x v="73"/>
    <x v="23"/>
    <x v="4"/>
    <x v="25"/>
    <x v="1"/>
    <x v="12"/>
    <x v="6"/>
  </r>
  <r>
    <x v="8"/>
    <x v="88"/>
    <x v="3"/>
    <x v="44"/>
    <x v="1"/>
    <x v="9"/>
    <x v="1"/>
    <x v="1"/>
    <x v="7"/>
    <x v="0"/>
    <x v="0"/>
    <x v="0"/>
    <x v="139"/>
    <x v="35"/>
    <x v="0"/>
    <x v="6"/>
    <x v="11"/>
    <x v="1"/>
    <x v="18"/>
    <x v="73"/>
    <x v="43"/>
    <x v="9"/>
    <x v="21"/>
    <x v="1"/>
    <x v="12"/>
    <x v="6"/>
  </r>
  <r>
    <x v="166"/>
    <x v="89"/>
    <x v="27"/>
    <x v="2"/>
    <x v="1"/>
    <x v="9"/>
    <x v="1"/>
    <x v="4"/>
    <x v="7"/>
    <x v="0"/>
    <x v="2"/>
    <x v="1"/>
    <x v="65"/>
    <x v="41"/>
    <x v="0"/>
    <x v="6"/>
    <x v="11"/>
    <x v="2"/>
    <x v="30"/>
    <x v="72"/>
    <x v="1"/>
    <x v="9"/>
    <x v="135"/>
    <x v="1"/>
    <x v="12"/>
    <x v="6"/>
  </r>
  <r>
    <x v="152"/>
    <x v="90"/>
    <x v="48"/>
    <x v="39"/>
    <x v="9"/>
    <x v="5"/>
    <x v="1"/>
    <x v="2"/>
    <x v="2"/>
    <x v="1"/>
    <x v="2"/>
    <x v="2"/>
    <x v="60"/>
    <x v="11"/>
    <x v="0"/>
    <x v="6"/>
    <x v="11"/>
    <x v="2"/>
    <x v="31"/>
    <x v="71"/>
    <x v="40"/>
    <x v="5"/>
    <x v="134"/>
    <x v="1"/>
    <x v="12"/>
    <x v="6"/>
  </r>
  <r>
    <x v="56"/>
    <x v="91"/>
    <x v="22"/>
    <x v="37"/>
    <x v="8"/>
    <x v="7"/>
    <x v="1"/>
    <x v="4"/>
    <x v="5"/>
    <x v="1"/>
    <x v="3"/>
    <x v="2"/>
    <x v="113"/>
    <x v="34"/>
    <x v="0"/>
    <x v="7"/>
    <x v="10"/>
    <x v="1"/>
    <x v="22"/>
    <x v="70"/>
    <x v="35"/>
    <x v="7"/>
    <x v="182"/>
    <x v="1"/>
    <x v="12"/>
    <x v="7"/>
  </r>
  <r>
    <x v="16"/>
    <x v="92"/>
    <x v="25"/>
    <x v="24"/>
    <x v="6"/>
    <x v="3"/>
    <x v="2"/>
    <x v="2"/>
    <x v="6"/>
    <x v="1"/>
    <x v="3"/>
    <x v="2"/>
    <x v="28"/>
    <x v="29"/>
    <x v="0"/>
    <x v="7"/>
    <x v="10"/>
    <x v="3"/>
    <x v="35"/>
    <x v="69"/>
    <x v="24"/>
    <x v="3"/>
    <x v="181"/>
    <x v="1"/>
    <x v="12"/>
    <x v="7"/>
  </r>
  <r>
    <x v="59"/>
    <x v="93"/>
    <x v="11"/>
    <x v="36"/>
    <x v="9"/>
    <x v="5"/>
    <x v="1"/>
    <x v="2"/>
    <x v="2"/>
    <x v="1"/>
    <x v="2"/>
    <x v="1"/>
    <x v="7"/>
    <x v="11"/>
    <x v="0"/>
    <x v="7"/>
    <x v="10"/>
    <x v="3"/>
    <x v="37"/>
    <x v="68"/>
    <x v="36"/>
    <x v="5"/>
    <x v="139"/>
    <x v="1"/>
    <x v="12"/>
    <x v="7"/>
  </r>
  <r>
    <x v="108"/>
    <x v="94"/>
    <x v="9"/>
    <x v="31"/>
    <x v="7"/>
    <x v="1"/>
    <x v="2"/>
    <x v="1"/>
    <x v="3"/>
    <x v="1"/>
    <x v="4"/>
    <x v="1"/>
    <x v="105"/>
    <x v="13"/>
    <x v="0"/>
    <x v="7"/>
    <x v="10"/>
    <x v="2"/>
    <x v="23"/>
    <x v="67"/>
    <x v="31"/>
    <x v="1"/>
    <x v="228"/>
    <x v="1"/>
    <x v="12"/>
    <x v="7"/>
  </r>
  <r>
    <x v="89"/>
    <x v="95"/>
    <x v="19"/>
    <x v="30"/>
    <x v="8"/>
    <x v="7"/>
    <x v="1"/>
    <x v="0"/>
    <x v="5"/>
    <x v="1"/>
    <x v="2"/>
    <x v="1"/>
    <x v="103"/>
    <x v="10"/>
    <x v="0"/>
    <x v="7"/>
    <x v="10"/>
    <x v="2"/>
    <x v="24"/>
    <x v="66"/>
    <x v="33"/>
    <x v="7"/>
    <x v="141"/>
    <x v="1"/>
    <x v="12"/>
    <x v="7"/>
  </r>
  <r>
    <x v="34"/>
    <x v="96"/>
    <x v="40"/>
    <x v="38"/>
    <x v="2"/>
    <x v="4"/>
    <x v="1"/>
    <x v="2"/>
    <x v="3"/>
    <x v="0"/>
    <x v="2"/>
    <x v="0"/>
    <x v="91"/>
    <x v="20"/>
    <x v="0"/>
    <x v="7"/>
    <x v="10"/>
    <x v="2"/>
    <x v="26"/>
    <x v="65"/>
    <x v="37"/>
    <x v="4"/>
    <x v="138"/>
    <x v="1"/>
    <x v="12"/>
    <x v="7"/>
  </r>
  <r>
    <x v="171"/>
    <x v="96"/>
    <x v="22"/>
    <x v="37"/>
    <x v="4"/>
    <x v="0"/>
    <x v="0"/>
    <x v="4"/>
    <x v="0"/>
    <x v="3"/>
    <x v="4"/>
    <x v="1"/>
    <x v="75"/>
    <x v="12"/>
    <x v="0"/>
    <x v="7"/>
    <x v="10"/>
    <x v="2"/>
    <x v="28"/>
    <x v="65"/>
    <x v="35"/>
    <x v="0"/>
    <x v="231"/>
    <x v="1"/>
    <x v="12"/>
    <x v="7"/>
  </r>
  <r>
    <x v="75"/>
    <x v="96"/>
    <x v="11"/>
    <x v="36"/>
    <x v="8"/>
    <x v="7"/>
    <x v="1"/>
    <x v="3"/>
    <x v="5"/>
    <x v="1"/>
    <x v="4"/>
    <x v="2"/>
    <x v="69"/>
    <x v="32"/>
    <x v="0"/>
    <x v="7"/>
    <x v="10"/>
    <x v="2"/>
    <x v="30"/>
    <x v="65"/>
    <x v="36"/>
    <x v="7"/>
    <x v="227"/>
    <x v="1"/>
    <x v="12"/>
    <x v="7"/>
  </r>
  <r>
    <x v="209"/>
    <x v="97"/>
    <x v="3"/>
    <x v="44"/>
    <x v="7"/>
    <x v="1"/>
    <x v="2"/>
    <x v="4"/>
    <x v="3"/>
    <x v="3"/>
    <x v="0"/>
    <x v="0"/>
    <x v="117"/>
    <x v="26"/>
    <x v="0"/>
    <x v="7"/>
    <x v="10"/>
    <x v="1"/>
    <x v="22"/>
    <x v="64"/>
    <x v="43"/>
    <x v="1"/>
    <x v="29"/>
    <x v="1"/>
    <x v="12"/>
    <x v="7"/>
  </r>
  <r>
    <x v="148"/>
    <x v="97"/>
    <x v="26"/>
    <x v="15"/>
    <x v="4"/>
    <x v="0"/>
    <x v="0"/>
    <x v="2"/>
    <x v="0"/>
    <x v="2"/>
    <x v="3"/>
    <x v="2"/>
    <x v="194"/>
    <x v="5"/>
    <x v="0"/>
    <x v="7"/>
    <x v="10"/>
    <x v="0"/>
    <x v="10"/>
    <x v="64"/>
    <x v="15"/>
    <x v="0"/>
    <x v="183"/>
    <x v="1"/>
    <x v="12"/>
    <x v="7"/>
  </r>
  <r>
    <x v="72"/>
    <x v="98"/>
    <x v="31"/>
    <x v="43"/>
    <x v="7"/>
    <x v="1"/>
    <x v="2"/>
    <x v="4"/>
    <x v="3"/>
    <x v="0"/>
    <x v="2"/>
    <x v="0"/>
    <x v="108"/>
    <x v="26"/>
    <x v="0"/>
    <x v="7"/>
    <x v="10"/>
    <x v="2"/>
    <x v="23"/>
    <x v="63"/>
    <x v="45"/>
    <x v="1"/>
    <x v="140"/>
    <x v="1"/>
    <x v="12"/>
    <x v="7"/>
  </r>
  <r>
    <x v="32"/>
    <x v="98"/>
    <x v="24"/>
    <x v="32"/>
    <x v="1"/>
    <x v="9"/>
    <x v="1"/>
    <x v="1"/>
    <x v="7"/>
    <x v="3"/>
    <x v="4"/>
    <x v="2"/>
    <x v="92"/>
    <x v="35"/>
    <x v="0"/>
    <x v="7"/>
    <x v="10"/>
    <x v="2"/>
    <x v="26"/>
    <x v="63"/>
    <x v="30"/>
    <x v="9"/>
    <x v="226"/>
    <x v="1"/>
    <x v="7"/>
    <x v="7"/>
  </r>
  <r>
    <x v="159"/>
    <x v="99"/>
    <x v="28"/>
    <x v="11"/>
    <x v="5"/>
    <x v="8"/>
    <x v="2"/>
    <x v="3"/>
    <x v="4"/>
    <x v="2"/>
    <x v="0"/>
    <x v="1"/>
    <x v="11"/>
    <x v="28"/>
    <x v="0"/>
    <x v="7"/>
    <x v="10"/>
    <x v="3"/>
    <x v="38"/>
    <x v="62"/>
    <x v="12"/>
    <x v="8"/>
    <x v="28"/>
    <x v="1"/>
    <x v="12"/>
    <x v="7"/>
  </r>
  <r>
    <x v="144"/>
    <x v="100"/>
    <x v="32"/>
    <x v="14"/>
    <x v="4"/>
    <x v="0"/>
    <x v="0"/>
    <x v="0"/>
    <x v="0"/>
    <x v="2"/>
    <x v="4"/>
    <x v="2"/>
    <x v="42"/>
    <x v="0"/>
    <x v="0"/>
    <x v="7"/>
    <x v="10"/>
    <x v="2"/>
    <x v="33"/>
    <x v="61"/>
    <x v="14"/>
    <x v="0"/>
    <x v="229"/>
    <x v="1"/>
    <x v="12"/>
    <x v="7"/>
  </r>
  <r>
    <x v="147"/>
    <x v="100"/>
    <x v="3"/>
    <x v="44"/>
    <x v="1"/>
    <x v="9"/>
    <x v="1"/>
    <x v="2"/>
    <x v="7"/>
    <x v="3"/>
    <x v="4"/>
    <x v="2"/>
    <x v="54"/>
    <x v="38"/>
    <x v="0"/>
    <x v="7"/>
    <x v="10"/>
    <x v="2"/>
    <x v="33"/>
    <x v="61"/>
    <x v="43"/>
    <x v="9"/>
    <x v="230"/>
    <x v="1"/>
    <x v="8"/>
    <x v="7"/>
  </r>
  <r>
    <x v="11"/>
    <x v="101"/>
    <x v="44"/>
    <x v="10"/>
    <x v="8"/>
    <x v="7"/>
    <x v="1"/>
    <x v="4"/>
    <x v="5"/>
    <x v="1"/>
    <x v="2"/>
    <x v="0"/>
    <x v="110"/>
    <x v="34"/>
    <x v="0"/>
    <x v="7"/>
    <x v="10"/>
    <x v="2"/>
    <x v="23"/>
    <x v="60"/>
    <x v="10"/>
    <x v="7"/>
    <x v="137"/>
    <x v="0"/>
    <x v="12"/>
    <x v="7"/>
  </r>
  <r>
    <x v="205"/>
    <x v="102"/>
    <x v="13"/>
    <x v="28"/>
    <x v="7"/>
    <x v="1"/>
    <x v="2"/>
    <x v="1"/>
    <x v="3"/>
    <x v="0"/>
    <x v="3"/>
    <x v="2"/>
    <x v="154"/>
    <x v="13"/>
    <x v="0"/>
    <x v="7"/>
    <x v="10"/>
    <x v="1"/>
    <x v="16"/>
    <x v="59"/>
    <x v="27"/>
    <x v="1"/>
    <x v="184"/>
    <x v="1"/>
    <x v="12"/>
    <x v="7"/>
  </r>
  <r>
    <x v="44"/>
    <x v="103"/>
    <x v="20"/>
    <x v="26"/>
    <x v="6"/>
    <x v="3"/>
    <x v="2"/>
    <x v="2"/>
    <x v="6"/>
    <x v="0"/>
    <x v="3"/>
    <x v="1"/>
    <x v="69"/>
    <x v="29"/>
    <x v="0"/>
    <x v="8"/>
    <x v="3"/>
    <x v="2"/>
    <x v="30"/>
    <x v="58"/>
    <x v="25"/>
    <x v="3"/>
    <x v="185"/>
    <x v="1"/>
    <x v="12"/>
    <x v="8"/>
  </r>
  <r>
    <x v="93"/>
    <x v="103"/>
    <x v="16"/>
    <x v="4"/>
    <x v="8"/>
    <x v="7"/>
    <x v="1"/>
    <x v="4"/>
    <x v="5"/>
    <x v="0"/>
    <x v="0"/>
    <x v="1"/>
    <x v="25"/>
    <x v="34"/>
    <x v="0"/>
    <x v="8"/>
    <x v="3"/>
    <x v="3"/>
    <x v="36"/>
    <x v="58"/>
    <x v="3"/>
    <x v="7"/>
    <x v="31"/>
    <x v="1"/>
    <x v="12"/>
    <x v="8"/>
  </r>
  <r>
    <x v="132"/>
    <x v="103"/>
    <x v="12"/>
    <x v="22"/>
    <x v="2"/>
    <x v="4"/>
    <x v="1"/>
    <x v="1"/>
    <x v="3"/>
    <x v="0"/>
    <x v="3"/>
    <x v="1"/>
    <x v="23"/>
    <x v="13"/>
    <x v="0"/>
    <x v="8"/>
    <x v="3"/>
    <x v="3"/>
    <x v="36"/>
    <x v="58"/>
    <x v="20"/>
    <x v="4"/>
    <x v="187"/>
    <x v="1"/>
    <x v="12"/>
    <x v="8"/>
  </r>
  <r>
    <x v="200"/>
    <x v="103"/>
    <x v="24"/>
    <x v="32"/>
    <x v="1"/>
    <x v="9"/>
    <x v="1"/>
    <x v="4"/>
    <x v="7"/>
    <x v="2"/>
    <x v="4"/>
    <x v="2"/>
    <x v="127"/>
    <x v="41"/>
    <x v="0"/>
    <x v="8"/>
    <x v="3"/>
    <x v="1"/>
    <x v="21"/>
    <x v="58"/>
    <x v="30"/>
    <x v="9"/>
    <x v="235"/>
    <x v="1"/>
    <x v="9"/>
    <x v="8"/>
  </r>
  <r>
    <x v="136"/>
    <x v="104"/>
    <x v="10"/>
    <x v="49"/>
    <x v="8"/>
    <x v="7"/>
    <x v="1"/>
    <x v="3"/>
    <x v="5"/>
    <x v="3"/>
    <x v="1"/>
    <x v="1"/>
    <x v="153"/>
    <x v="32"/>
    <x v="0"/>
    <x v="8"/>
    <x v="3"/>
    <x v="1"/>
    <x v="16"/>
    <x v="57"/>
    <x v="48"/>
    <x v="7"/>
    <x v="86"/>
    <x v="1"/>
    <x v="12"/>
    <x v="8"/>
  </r>
  <r>
    <x v="65"/>
    <x v="105"/>
    <x v="23"/>
    <x v="9"/>
    <x v="1"/>
    <x v="9"/>
    <x v="1"/>
    <x v="3"/>
    <x v="7"/>
    <x v="1"/>
    <x v="2"/>
    <x v="1"/>
    <x v="76"/>
    <x v="40"/>
    <x v="0"/>
    <x v="8"/>
    <x v="3"/>
    <x v="2"/>
    <x v="29"/>
    <x v="56"/>
    <x v="9"/>
    <x v="9"/>
    <x v="144"/>
    <x v="1"/>
    <x v="12"/>
    <x v="8"/>
  </r>
  <r>
    <x v="179"/>
    <x v="106"/>
    <x v="35"/>
    <x v="35"/>
    <x v="8"/>
    <x v="7"/>
    <x v="1"/>
    <x v="1"/>
    <x v="5"/>
    <x v="1"/>
    <x v="0"/>
    <x v="1"/>
    <x v="1"/>
    <x v="21"/>
    <x v="0"/>
    <x v="8"/>
    <x v="3"/>
    <x v="3"/>
    <x v="39"/>
    <x v="55"/>
    <x v="34"/>
    <x v="7"/>
    <x v="34"/>
    <x v="1"/>
    <x v="12"/>
    <x v="8"/>
  </r>
  <r>
    <x v="81"/>
    <x v="106"/>
    <x v="4"/>
    <x v="19"/>
    <x v="4"/>
    <x v="0"/>
    <x v="0"/>
    <x v="2"/>
    <x v="0"/>
    <x v="0"/>
    <x v="0"/>
    <x v="1"/>
    <x v="148"/>
    <x v="5"/>
    <x v="0"/>
    <x v="8"/>
    <x v="3"/>
    <x v="1"/>
    <x v="18"/>
    <x v="55"/>
    <x v="20"/>
    <x v="0"/>
    <x v="30"/>
    <x v="0"/>
    <x v="12"/>
    <x v="8"/>
  </r>
  <r>
    <x v="35"/>
    <x v="106"/>
    <x v="7"/>
    <x v="20"/>
    <x v="3"/>
    <x v="2"/>
    <x v="0"/>
    <x v="3"/>
    <x v="1"/>
    <x v="2"/>
    <x v="1"/>
    <x v="2"/>
    <x v="124"/>
    <x v="15"/>
    <x v="0"/>
    <x v="8"/>
    <x v="3"/>
    <x v="1"/>
    <x v="22"/>
    <x v="55"/>
    <x v="22"/>
    <x v="2"/>
    <x v="84"/>
    <x v="1"/>
    <x v="12"/>
    <x v="8"/>
  </r>
  <r>
    <x v="197"/>
    <x v="107"/>
    <x v="29"/>
    <x v="18"/>
    <x v="3"/>
    <x v="2"/>
    <x v="0"/>
    <x v="2"/>
    <x v="1"/>
    <x v="2"/>
    <x v="1"/>
    <x v="2"/>
    <x v="95"/>
    <x v="9"/>
    <x v="0"/>
    <x v="8"/>
    <x v="3"/>
    <x v="2"/>
    <x v="27"/>
    <x v="54"/>
    <x v="18"/>
    <x v="2"/>
    <x v="88"/>
    <x v="1"/>
    <x v="12"/>
    <x v="8"/>
  </r>
  <r>
    <x v="31"/>
    <x v="108"/>
    <x v="40"/>
    <x v="38"/>
    <x v="0"/>
    <x v="6"/>
    <x v="1"/>
    <x v="1"/>
    <x v="8"/>
    <x v="0"/>
    <x v="2"/>
    <x v="0"/>
    <x v="2"/>
    <x v="37"/>
    <x v="0"/>
    <x v="8"/>
    <x v="3"/>
    <x v="3"/>
    <x v="39"/>
    <x v="53"/>
    <x v="37"/>
    <x v="6"/>
    <x v="143"/>
    <x v="1"/>
    <x v="12"/>
    <x v="8"/>
  </r>
  <r>
    <x v="80"/>
    <x v="109"/>
    <x v="6"/>
    <x v="7"/>
    <x v="7"/>
    <x v="1"/>
    <x v="2"/>
    <x v="0"/>
    <x v="3"/>
    <x v="2"/>
    <x v="1"/>
    <x v="2"/>
    <x v="180"/>
    <x v="4"/>
    <x v="0"/>
    <x v="8"/>
    <x v="3"/>
    <x v="1"/>
    <x v="13"/>
    <x v="52"/>
    <x v="8"/>
    <x v="1"/>
    <x v="85"/>
    <x v="1"/>
    <x v="12"/>
    <x v="8"/>
  </r>
  <r>
    <x v="223"/>
    <x v="109"/>
    <x v="30"/>
    <x v="46"/>
    <x v="6"/>
    <x v="3"/>
    <x v="2"/>
    <x v="1"/>
    <x v="6"/>
    <x v="0"/>
    <x v="1"/>
    <x v="1"/>
    <x v="82"/>
    <x v="24"/>
    <x v="0"/>
    <x v="8"/>
    <x v="3"/>
    <x v="2"/>
    <x v="29"/>
    <x v="52"/>
    <x v="46"/>
    <x v="3"/>
    <x v="89"/>
    <x v="1"/>
    <x v="12"/>
    <x v="8"/>
  </r>
  <r>
    <x v="27"/>
    <x v="110"/>
    <x v="1"/>
    <x v="13"/>
    <x v="4"/>
    <x v="0"/>
    <x v="0"/>
    <x v="1"/>
    <x v="0"/>
    <x v="0"/>
    <x v="4"/>
    <x v="0"/>
    <x v="177"/>
    <x v="3"/>
    <x v="0"/>
    <x v="8"/>
    <x v="3"/>
    <x v="1"/>
    <x v="13"/>
    <x v="51"/>
    <x v="13"/>
    <x v="0"/>
    <x v="232"/>
    <x v="1"/>
    <x v="12"/>
    <x v="8"/>
  </r>
  <r>
    <x v="182"/>
    <x v="111"/>
    <x v="6"/>
    <x v="7"/>
    <x v="9"/>
    <x v="5"/>
    <x v="1"/>
    <x v="0"/>
    <x v="2"/>
    <x v="2"/>
    <x v="0"/>
    <x v="2"/>
    <x v="90"/>
    <x v="2"/>
    <x v="0"/>
    <x v="8"/>
    <x v="3"/>
    <x v="2"/>
    <x v="28"/>
    <x v="50"/>
    <x v="8"/>
    <x v="5"/>
    <x v="35"/>
    <x v="1"/>
    <x v="12"/>
    <x v="8"/>
  </r>
  <r>
    <x v="162"/>
    <x v="111"/>
    <x v="18"/>
    <x v="6"/>
    <x v="0"/>
    <x v="6"/>
    <x v="1"/>
    <x v="4"/>
    <x v="8"/>
    <x v="2"/>
    <x v="1"/>
    <x v="2"/>
    <x v="62"/>
    <x v="43"/>
    <x v="0"/>
    <x v="8"/>
    <x v="3"/>
    <x v="2"/>
    <x v="32"/>
    <x v="50"/>
    <x v="7"/>
    <x v="6"/>
    <x v="87"/>
    <x v="1"/>
    <x v="12"/>
    <x v="8"/>
  </r>
  <r>
    <x v="45"/>
    <x v="112"/>
    <x v="2"/>
    <x v="33"/>
    <x v="7"/>
    <x v="1"/>
    <x v="2"/>
    <x v="1"/>
    <x v="3"/>
    <x v="0"/>
    <x v="3"/>
    <x v="0"/>
    <x v="190"/>
    <x v="13"/>
    <x v="0"/>
    <x v="8"/>
    <x v="3"/>
    <x v="1"/>
    <x v="12"/>
    <x v="49"/>
    <x v="29"/>
    <x v="1"/>
    <x v="186"/>
    <x v="1"/>
    <x v="12"/>
    <x v="8"/>
  </r>
  <r>
    <x v="163"/>
    <x v="113"/>
    <x v="13"/>
    <x v="28"/>
    <x v="2"/>
    <x v="4"/>
    <x v="1"/>
    <x v="1"/>
    <x v="3"/>
    <x v="2"/>
    <x v="4"/>
    <x v="1"/>
    <x v="200"/>
    <x v="13"/>
    <x v="0"/>
    <x v="8"/>
    <x v="3"/>
    <x v="1"/>
    <x v="11"/>
    <x v="48"/>
    <x v="27"/>
    <x v="4"/>
    <x v="234"/>
    <x v="1"/>
    <x v="12"/>
    <x v="8"/>
  </r>
  <r>
    <x v="7"/>
    <x v="113"/>
    <x v="6"/>
    <x v="7"/>
    <x v="7"/>
    <x v="1"/>
    <x v="2"/>
    <x v="2"/>
    <x v="3"/>
    <x v="2"/>
    <x v="2"/>
    <x v="2"/>
    <x v="31"/>
    <x v="20"/>
    <x v="0"/>
    <x v="8"/>
    <x v="3"/>
    <x v="3"/>
    <x v="36"/>
    <x v="48"/>
    <x v="8"/>
    <x v="1"/>
    <x v="142"/>
    <x v="1"/>
    <x v="12"/>
    <x v="8"/>
  </r>
  <r>
    <x v="170"/>
    <x v="114"/>
    <x v="20"/>
    <x v="26"/>
    <x v="6"/>
    <x v="3"/>
    <x v="2"/>
    <x v="1"/>
    <x v="6"/>
    <x v="3"/>
    <x v="3"/>
    <x v="0"/>
    <x v="81"/>
    <x v="24"/>
    <x v="0"/>
    <x v="8"/>
    <x v="3"/>
    <x v="2"/>
    <x v="29"/>
    <x v="47"/>
    <x v="25"/>
    <x v="3"/>
    <x v="189"/>
    <x v="1"/>
    <x v="12"/>
    <x v="8"/>
  </r>
  <r>
    <x v="142"/>
    <x v="115"/>
    <x v="2"/>
    <x v="33"/>
    <x v="6"/>
    <x v="3"/>
    <x v="2"/>
    <x v="1"/>
    <x v="6"/>
    <x v="0"/>
    <x v="4"/>
    <x v="0"/>
    <x v="93"/>
    <x v="24"/>
    <x v="0"/>
    <x v="8"/>
    <x v="3"/>
    <x v="2"/>
    <x v="27"/>
    <x v="46"/>
    <x v="29"/>
    <x v="3"/>
    <x v="233"/>
    <x v="1"/>
    <x v="12"/>
    <x v="8"/>
  </r>
  <r>
    <x v="164"/>
    <x v="115"/>
    <x v="29"/>
    <x v="18"/>
    <x v="5"/>
    <x v="8"/>
    <x v="2"/>
    <x v="3"/>
    <x v="4"/>
    <x v="1"/>
    <x v="0"/>
    <x v="0"/>
    <x v="32"/>
    <x v="28"/>
    <x v="0"/>
    <x v="8"/>
    <x v="3"/>
    <x v="3"/>
    <x v="36"/>
    <x v="46"/>
    <x v="18"/>
    <x v="8"/>
    <x v="33"/>
    <x v="1"/>
    <x v="12"/>
    <x v="8"/>
  </r>
  <r>
    <x v="155"/>
    <x v="116"/>
    <x v="8"/>
    <x v="41"/>
    <x v="9"/>
    <x v="5"/>
    <x v="1"/>
    <x v="0"/>
    <x v="2"/>
    <x v="1"/>
    <x v="3"/>
    <x v="1"/>
    <x v="56"/>
    <x v="2"/>
    <x v="0"/>
    <x v="8"/>
    <x v="3"/>
    <x v="2"/>
    <x v="33"/>
    <x v="45"/>
    <x v="41"/>
    <x v="5"/>
    <x v="188"/>
    <x v="1"/>
    <x v="12"/>
    <x v="8"/>
  </r>
  <r>
    <x v="146"/>
    <x v="116"/>
    <x v="35"/>
    <x v="35"/>
    <x v="7"/>
    <x v="1"/>
    <x v="2"/>
    <x v="4"/>
    <x v="3"/>
    <x v="0"/>
    <x v="0"/>
    <x v="1"/>
    <x v="214"/>
    <x v="26"/>
    <x v="0"/>
    <x v="8"/>
    <x v="3"/>
    <x v="0"/>
    <x v="9"/>
    <x v="45"/>
    <x v="34"/>
    <x v="1"/>
    <x v="32"/>
    <x v="1"/>
    <x v="12"/>
    <x v="8"/>
  </r>
  <r>
    <x v="206"/>
    <x v="117"/>
    <x v="24"/>
    <x v="32"/>
    <x v="0"/>
    <x v="6"/>
    <x v="1"/>
    <x v="0"/>
    <x v="8"/>
    <x v="3"/>
    <x v="2"/>
    <x v="1"/>
    <x v="147"/>
    <x v="30"/>
    <x v="0"/>
    <x v="8"/>
    <x v="3"/>
    <x v="1"/>
    <x v="18"/>
    <x v="44"/>
    <x v="30"/>
    <x v="6"/>
    <x v="145"/>
    <x v="1"/>
    <x v="12"/>
    <x v="8"/>
  </r>
  <r>
    <x v="55"/>
    <x v="118"/>
    <x v="18"/>
    <x v="6"/>
    <x v="9"/>
    <x v="5"/>
    <x v="1"/>
    <x v="1"/>
    <x v="2"/>
    <x v="1"/>
    <x v="3"/>
    <x v="1"/>
    <x v="43"/>
    <x v="6"/>
    <x v="0"/>
    <x v="9"/>
    <x v="5"/>
    <x v="3"/>
    <x v="35"/>
    <x v="43"/>
    <x v="7"/>
    <x v="5"/>
    <x v="191"/>
    <x v="1"/>
    <x v="12"/>
    <x v="9"/>
  </r>
  <r>
    <x v="25"/>
    <x v="119"/>
    <x v="36"/>
    <x v="0"/>
    <x v="0"/>
    <x v="6"/>
    <x v="1"/>
    <x v="0"/>
    <x v="8"/>
    <x v="3"/>
    <x v="2"/>
    <x v="2"/>
    <x v="89"/>
    <x v="30"/>
    <x v="0"/>
    <x v="9"/>
    <x v="5"/>
    <x v="2"/>
    <x v="28"/>
    <x v="42"/>
    <x v="0"/>
    <x v="6"/>
    <x v="147"/>
    <x v="0"/>
    <x v="12"/>
    <x v="9"/>
  </r>
  <r>
    <x v="236"/>
    <x v="120"/>
    <x v="5"/>
    <x v="29"/>
    <x v="2"/>
    <x v="4"/>
    <x v="1"/>
    <x v="4"/>
    <x v="3"/>
    <x v="3"/>
    <x v="1"/>
    <x v="1"/>
    <x v="102"/>
    <x v="26"/>
    <x v="0"/>
    <x v="9"/>
    <x v="5"/>
    <x v="2"/>
    <x v="26"/>
    <x v="41"/>
    <x v="26"/>
    <x v="4"/>
    <x v="94"/>
    <x v="1"/>
    <x v="12"/>
    <x v="9"/>
  </r>
  <r>
    <x v="90"/>
    <x v="120"/>
    <x v="2"/>
    <x v="33"/>
    <x v="6"/>
    <x v="3"/>
    <x v="2"/>
    <x v="2"/>
    <x v="6"/>
    <x v="0"/>
    <x v="3"/>
    <x v="2"/>
    <x v="9"/>
    <x v="29"/>
    <x v="0"/>
    <x v="9"/>
    <x v="5"/>
    <x v="3"/>
    <x v="39"/>
    <x v="41"/>
    <x v="29"/>
    <x v="3"/>
    <x v="193"/>
    <x v="1"/>
    <x v="12"/>
    <x v="9"/>
  </r>
  <r>
    <x v="124"/>
    <x v="121"/>
    <x v="25"/>
    <x v="24"/>
    <x v="1"/>
    <x v="9"/>
    <x v="1"/>
    <x v="2"/>
    <x v="7"/>
    <x v="1"/>
    <x v="0"/>
    <x v="1"/>
    <x v="157"/>
    <x v="38"/>
    <x v="0"/>
    <x v="9"/>
    <x v="5"/>
    <x v="1"/>
    <x v="17"/>
    <x v="40"/>
    <x v="24"/>
    <x v="9"/>
    <x v="38"/>
    <x v="1"/>
    <x v="12"/>
    <x v="9"/>
  </r>
  <r>
    <x v="222"/>
    <x v="122"/>
    <x v="35"/>
    <x v="35"/>
    <x v="5"/>
    <x v="8"/>
    <x v="2"/>
    <x v="4"/>
    <x v="4"/>
    <x v="3"/>
    <x v="0"/>
    <x v="2"/>
    <x v="64"/>
    <x v="31"/>
    <x v="0"/>
    <x v="9"/>
    <x v="5"/>
    <x v="2"/>
    <x v="32"/>
    <x v="39"/>
    <x v="34"/>
    <x v="8"/>
    <x v="41"/>
    <x v="1"/>
    <x v="12"/>
    <x v="9"/>
  </r>
  <r>
    <x v="242"/>
    <x v="122"/>
    <x v="47"/>
    <x v="48"/>
    <x v="8"/>
    <x v="7"/>
    <x v="1"/>
    <x v="4"/>
    <x v="5"/>
    <x v="1"/>
    <x v="3"/>
    <x v="0"/>
    <x v="211"/>
    <x v="34"/>
    <x v="0"/>
    <x v="9"/>
    <x v="5"/>
    <x v="0"/>
    <x v="10"/>
    <x v="39"/>
    <x v="47"/>
    <x v="7"/>
    <x v="197"/>
    <x v="1"/>
    <x v="12"/>
    <x v="9"/>
  </r>
  <r>
    <x v="83"/>
    <x v="123"/>
    <x v="30"/>
    <x v="46"/>
    <x v="2"/>
    <x v="4"/>
    <x v="1"/>
    <x v="3"/>
    <x v="3"/>
    <x v="2"/>
    <x v="1"/>
    <x v="2"/>
    <x v="36"/>
    <x v="22"/>
    <x v="0"/>
    <x v="9"/>
    <x v="5"/>
    <x v="3"/>
    <x v="36"/>
    <x v="38"/>
    <x v="46"/>
    <x v="4"/>
    <x v="91"/>
    <x v="1"/>
    <x v="12"/>
    <x v="9"/>
  </r>
  <r>
    <x v="237"/>
    <x v="123"/>
    <x v="37"/>
    <x v="34"/>
    <x v="1"/>
    <x v="9"/>
    <x v="1"/>
    <x v="2"/>
    <x v="7"/>
    <x v="0"/>
    <x v="2"/>
    <x v="1"/>
    <x v="57"/>
    <x v="38"/>
    <x v="0"/>
    <x v="9"/>
    <x v="5"/>
    <x v="2"/>
    <x v="34"/>
    <x v="38"/>
    <x v="32"/>
    <x v="9"/>
    <x v="150"/>
    <x v="1"/>
    <x v="12"/>
    <x v="9"/>
  </r>
  <r>
    <x v="101"/>
    <x v="124"/>
    <x v="44"/>
    <x v="10"/>
    <x v="3"/>
    <x v="2"/>
    <x v="0"/>
    <x v="0"/>
    <x v="1"/>
    <x v="1"/>
    <x v="3"/>
    <x v="0"/>
    <x v="209"/>
    <x v="1"/>
    <x v="0"/>
    <x v="9"/>
    <x v="5"/>
    <x v="0"/>
    <x v="10"/>
    <x v="37"/>
    <x v="10"/>
    <x v="2"/>
    <x v="194"/>
    <x v="1"/>
    <x v="12"/>
    <x v="9"/>
  </r>
  <r>
    <x v="21"/>
    <x v="124"/>
    <x v="24"/>
    <x v="32"/>
    <x v="6"/>
    <x v="3"/>
    <x v="2"/>
    <x v="0"/>
    <x v="6"/>
    <x v="1"/>
    <x v="2"/>
    <x v="0"/>
    <x v="14"/>
    <x v="14"/>
    <x v="0"/>
    <x v="9"/>
    <x v="5"/>
    <x v="3"/>
    <x v="39"/>
    <x v="37"/>
    <x v="30"/>
    <x v="3"/>
    <x v="146"/>
    <x v="1"/>
    <x v="12"/>
    <x v="9"/>
  </r>
  <r>
    <x v="86"/>
    <x v="125"/>
    <x v="27"/>
    <x v="2"/>
    <x v="8"/>
    <x v="7"/>
    <x v="1"/>
    <x v="3"/>
    <x v="5"/>
    <x v="1"/>
    <x v="2"/>
    <x v="1"/>
    <x v="18"/>
    <x v="32"/>
    <x v="0"/>
    <x v="9"/>
    <x v="5"/>
    <x v="3"/>
    <x v="38"/>
    <x v="36"/>
    <x v="1"/>
    <x v="7"/>
    <x v="148"/>
    <x v="1"/>
    <x v="12"/>
    <x v="9"/>
  </r>
  <r>
    <x v="106"/>
    <x v="125"/>
    <x v="29"/>
    <x v="18"/>
    <x v="2"/>
    <x v="4"/>
    <x v="1"/>
    <x v="1"/>
    <x v="3"/>
    <x v="0"/>
    <x v="2"/>
    <x v="2"/>
    <x v="119"/>
    <x v="13"/>
    <x v="0"/>
    <x v="9"/>
    <x v="5"/>
    <x v="2"/>
    <x v="23"/>
    <x v="36"/>
    <x v="18"/>
    <x v="4"/>
    <x v="149"/>
    <x v="1"/>
    <x v="12"/>
    <x v="9"/>
  </r>
  <r>
    <x v="50"/>
    <x v="125"/>
    <x v="31"/>
    <x v="43"/>
    <x v="6"/>
    <x v="3"/>
    <x v="2"/>
    <x v="2"/>
    <x v="6"/>
    <x v="1"/>
    <x v="3"/>
    <x v="0"/>
    <x v="181"/>
    <x v="29"/>
    <x v="0"/>
    <x v="9"/>
    <x v="5"/>
    <x v="1"/>
    <x v="14"/>
    <x v="36"/>
    <x v="45"/>
    <x v="3"/>
    <x v="190"/>
    <x v="1"/>
    <x v="12"/>
    <x v="9"/>
  </r>
  <r>
    <x v="105"/>
    <x v="126"/>
    <x v="38"/>
    <x v="27"/>
    <x v="5"/>
    <x v="8"/>
    <x v="2"/>
    <x v="3"/>
    <x v="4"/>
    <x v="2"/>
    <x v="3"/>
    <x v="2"/>
    <x v="40"/>
    <x v="28"/>
    <x v="0"/>
    <x v="9"/>
    <x v="5"/>
    <x v="3"/>
    <x v="36"/>
    <x v="35"/>
    <x v="28"/>
    <x v="8"/>
    <x v="195"/>
    <x v="1"/>
    <x v="12"/>
    <x v="9"/>
  </r>
  <r>
    <x v="58"/>
    <x v="126"/>
    <x v="15"/>
    <x v="12"/>
    <x v="6"/>
    <x v="3"/>
    <x v="2"/>
    <x v="4"/>
    <x v="6"/>
    <x v="2"/>
    <x v="0"/>
    <x v="0"/>
    <x v="12"/>
    <x v="36"/>
    <x v="0"/>
    <x v="9"/>
    <x v="5"/>
    <x v="3"/>
    <x v="39"/>
    <x v="35"/>
    <x v="11"/>
    <x v="3"/>
    <x v="37"/>
    <x v="1"/>
    <x v="12"/>
    <x v="9"/>
  </r>
  <r>
    <x v="71"/>
    <x v="126"/>
    <x v="8"/>
    <x v="41"/>
    <x v="7"/>
    <x v="1"/>
    <x v="2"/>
    <x v="2"/>
    <x v="3"/>
    <x v="1"/>
    <x v="1"/>
    <x v="2"/>
    <x v="0"/>
    <x v="20"/>
    <x v="0"/>
    <x v="9"/>
    <x v="5"/>
    <x v="3"/>
    <x v="40"/>
    <x v="35"/>
    <x v="41"/>
    <x v="1"/>
    <x v="90"/>
    <x v="1"/>
    <x v="12"/>
    <x v="9"/>
  </r>
  <r>
    <x v="109"/>
    <x v="127"/>
    <x v="5"/>
    <x v="29"/>
    <x v="4"/>
    <x v="0"/>
    <x v="0"/>
    <x v="4"/>
    <x v="0"/>
    <x v="2"/>
    <x v="1"/>
    <x v="0"/>
    <x v="67"/>
    <x v="12"/>
    <x v="0"/>
    <x v="9"/>
    <x v="5"/>
    <x v="2"/>
    <x v="32"/>
    <x v="34"/>
    <x v="26"/>
    <x v="0"/>
    <x v="92"/>
    <x v="1"/>
    <x v="12"/>
    <x v="9"/>
  </r>
  <r>
    <x v="125"/>
    <x v="128"/>
    <x v="21"/>
    <x v="47"/>
    <x v="4"/>
    <x v="0"/>
    <x v="0"/>
    <x v="3"/>
    <x v="0"/>
    <x v="2"/>
    <x v="1"/>
    <x v="2"/>
    <x v="43"/>
    <x v="8"/>
    <x v="0"/>
    <x v="9"/>
    <x v="5"/>
    <x v="3"/>
    <x v="35"/>
    <x v="33"/>
    <x v="44"/>
    <x v="0"/>
    <x v="93"/>
    <x v="1"/>
    <x v="12"/>
    <x v="9"/>
  </r>
  <r>
    <x v="158"/>
    <x v="129"/>
    <x v="23"/>
    <x v="9"/>
    <x v="8"/>
    <x v="7"/>
    <x v="1"/>
    <x v="3"/>
    <x v="5"/>
    <x v="2"/>
    <x v="0"/>
    <x v="1"/>
    <x v="186"/>
    <x v="32"/>
    <x v="0"/>
    <x v="9"/>
    <x v="5"/>
    <x v="1"/>
    <x v="14"/>
    <x v="32"/>
    <x v="9"/>
    <x v="7"/>
    <x v="39"/>
    <x v="1"/>
    <x v="12"/>
    <x v="9"/>
  </r>
  <r>
    <x v="29"/>
    <x v="130"/>
    <x v="10"/>
    <x v="49"/>
    <x v="0"/>
    <x v="6"/>
    <x v="1"/>
    <x v="3"/>
    <x v="8"/>
    <x v="3"/>
    <x v="0"/>
    <x v="0"/>
    <x v="85"/>
    <x v="42"/>
    <x v="0"/>
    <x v="9"/>
    <x v="5"/>
    <x v="2"/>
    <x v="30"/>
    <x v="31"/>
    <x v="48"/>
    <x v="6"/>
    <x v="36"/>
    <x v="1"/>
    <x v="12"/>
    <x v="9"/>
  </r>
  <r>
    <x v="177"/>
    <x v="130"/>
    <x v="24"/>
    <x v="32"/>
    <x v="6"/>
    <x v="3"/>
    <x v="2"/>
    <x v="2"/>
    <x v="6"/>
    <x v="2"/>
    <x v="4"/>
    <x v="2"/>
    <x v="128"/>
    <x v="29"/>
    <x v="0"/>
    <x v="9"/>
    <x v="5"/>
    <x v="2"/>
    <x v="23"/>
    <x v="31"/>
    <x v="30"/>
    <x v="3"/>
    <x v="237"/>
    <x v="1"/>
    <x v="12"/>
    <x v="9"/>
  </r>
  <r>
    <x v="187"/>
    <x v="130"/>
    <x v="44"/>
    <x v="10"/>
    <x v="1"/>
    <x v="9"/>
    <x v="1"/>
    <x v="1"/>
    <x v="7"/>
    <x v="2"/>
    <x v="0"/>
    <x v="1"/>
    <x v="71"/>
    <x v="35"/>
    <x v="0"/>
    <x v="9"/>
    <x v="5"/>
    <x v="2"/>
    <x v="31"/>
    <x v="31"/>
    <x v="10"/>
    <x v="9"/>
    <x v="40"/>
    <x v="1"/>
    <x v="12"/>
    <x v="9"/>
  </r>
  <r>
    <x v="9"/>
    <x v="131"/>
    <x v="25"/>
    <x v="24"/>
    <x v="1"/>
    <x v="9"/>
    <x v="1"/>
    <x v="3"/>
    <x v="7"/>
    <x v="2"/>
    <x v="4"/>
    <x v="1"/>
    <x v="73"/>
    <x v="40"/>
    <x v="0"/>
    <x v="9"/>
    <x v="5"/>
    <x v="2"/>
    <x v="31"/>
    <x v="30"/>
    <x v="24"/>
    <x v="9"/>
    <x v="236"/>
    <x v="1"/>
    <x v="10"/>
    <x v="9"/>
  </r>
  <r>
    <x v="68"/>
    <x v="131"/>
    <x v="28"/>
    <x v="11"/>
    <x v="9"/>
    <x v="5"/>
    <x v="1"/>
    <x v="1"/>
    <x v="2"/>
    <x v="2"/>
    <x v="3"/>
    <x v="0"/>
    <x v="94"/>
    <x v="6"/>
    <x v="0"/>
    <x v="9"/>
    <x v="5"/>
    <x v="2"/>
    <x v="28"/>
    <x v="30"/>
    <x v="12"/>
    <x v="5"/>
    <x v="192"/>
    <x v="1"/>
    <x v="12"/>
    <x v="9"/>
  </r>
  <r>
    <x v="165"/>
    <x v="131"/>
    <x v="2"/>
    <x v="33"/>
    <x v="9"/>
    <x v="5"/>
    <x v="1"/>
    <x v="2"/>
    <x v="2"/>
    <x v="2"/>
    <x v="3"/>
    <x v="1"/>
    <x v="207"/>
    <x v="11"/>
    <x v="0"/>
    <x v="9"/>
    <x v="5"/>
    <x v="1"/>
    <x v="11"/>
    <x v="30"/>
    <x v="29"/>
    <x v="5"/>
    <x v="196"/>
    <x v="1"/>
    <x v="12"/>
    <x v="9"/>
  </r>
  <r>
    <x v="218"/>
    <x v="132"/>
    <x v="36"/>
    <x v="0"/>
    <x v="4"/>
    <x v="0"/>
    <x v="0"/>
    <x v="0"/>
    <x v="0"/>
    <x v="2"/>
    <x v="0"/>
    <x v="2"/>
    <x v="145"/>
    <x v="0"/>
    <x v="0"/>
    <x v="10"/>
    <x v="4"/>
    <x v="1"/>
    <x v="20"/>
    <x v="29"/>
    <x v="0"/>
    <x v="0"/>
    <x v="47"/>
    <x v="1"/>
    <x v="12"/>
    <x v="10"/>
  </r>
  <r>
    <x v="23"/>
    <x v="133"/>
    <x v="41"/>
    <x v="42"/>
    <x v="7"/>
    <x v="1"/>
    <x v="2"/>
    <x v="2"/>
    <x v="3"/>
    <x v="2"/>
    <x v="2"/>
    <x v="1"/>
    <x v="43"/>
    <x v="20"/>
    <x v="0"/>
    <x v="10"/>
    <x v="4"/>
    <x v="3"/>
    <x v="36"/>
    <x v="28"/>
    <x v="38"/>
    <x v="1"/>
    <x v="151"/>
    <x v="1"/>
    <x v="12"/>
    <x v="10"/>
  </r>
  <r>
    <x v="104"/>
    <x v="133"/>
    <x v="47"/>
    <x v="48"/>
    <x v="6"/>
    <x v="3"/>
    <x v="2"/>
    <x v="4"/>
    <x v="6"/>
    <x v="1"/>
    <x v="3"/>
    <x v="0"/>
    <x v="130"/>
    <x v="36"/>
    <x v="0"/>
    <x v="10"/>
    <x v="4"/>
    <x v="2"/>
    <x v="23"/>
    <x v="28"/>
    <x v="47"/>
    <x v="3"/>
    <x v="199"/>
    <x v="1"/>
    <x v="12"/>
    <x v="10"/>
  </r>
  <r>
    <x v="10"/>
    <x v="134"/>
    <x v="39"/>
    <x v="45"/>
    <x v="4"/>
    <x v="0"/>
    <x v="0"/>
    <x v="4"/>
    <x v="0"/>
    <x v="2"/>
    <x v="0"/>
    <x v="2"/>
    <x v="174"/>
    <x v="12"/>
    <x v="0"/>
    <x v="10"/>
    <x v="4"/>
    <x v="1"/>
    <x v="16"/>
    <x v="27"/>
    <x v="42"/>
    <x v="0"/>
    <x v="42"/>
    <x v="1"/>
    <x v="12"/>
    <x v="10"/>
  </r>
  <r>
    <x v="186"/>
    <x v="135"/>
    <x v="35"/>
    <x v="35"/>
    <x v="3"/>
    <x v="2"/>
    <x v="0"/>
    <x v="2"/>
    <x v="1"/>
    <x v="0"/>
    <x v="1"/>
    <x v="1"/>
    <x v="14"/>
    <x v="9"/>
    <x v="0"/>
    <x v="10"/>
    <x v="4"/>
    <x v="3"/>
    <x v="40"/>
    <x v="26"/>
    <x v="34"/>
    <x v="2"/>
    <x v="95"/>
    <x v="1"/>
    <x v="12"/>
    <x v="10"/>
  </r>
  <r>
    <x v="88"/>
    <x v="136"/>
    <x v="20"/>
    <x v="26"/>
    <x v="5"/>
    <x v="8"/>
    <x v="2"/>
    <x v="2"/>
    <x v="4"/>
    <x v="0"/>
    <x v="0"/>
    <x v="0"/>
    <x v="86"/>
    <x v="23"/>
    <x v="0"/>
    <x v="10"/>
    <x v="4"/>
    <x v="2"/>
    <x v="30"/>
    <x v="25"/>
    <x v="25"/>
    <x v="8"/>
    <x v="43"/>
    <x v="1"/>
    <x v="12"/>
    <x v="10"/>
  </r>
  <r>
    <x v="195"/>
    <x v="136"/>
    <x v="22"/>
    <x v="37"/>
    <x v="9"/>
    <x v="5"/>
    <x v="1"/>
    <x v="1"/>
    <x v="2"/>
    <x v="3"/>
    <x v="0"/>
    <x v="0"/>
    <x v="193"/>
    <x v="6"/>
    <x v="0"/>
    <x v="10"/>
    <x v="4"/>
    <x v="1"/>
    <x v="13"/>
    <x v="25"/>
    <x v="35"/>
    <x v="5"/>
    <x v="46"/>
    <x v="1"/>
    <x v="12"/>
    <x v="10"/>
  </r>
  <r>
    <x v="117"/>
    <x v="137"/>
    <x v="14"/>
    <x v="40"/>
    <x v="7"/>
    <x v="1"/>
    <x v="2"/>
    <x v="1"/>
    <x v="3"/>
    <x v="0"/>
    <x v="3"/>
    <x v="1"/>
    <x v="83"/>
    <x v="13"/>
    <x v="0"/>
    <x v="10"/>
    <x v="4"/>
    <x v="2"/>
    <x v="31"/>
    <x v="24"/>
    <x v="39"/>
    <x v="1"/>
    <x v="200"/>
    <x v="1"/>
    <x v="12"/>
    <x v="10"/>
  </r>
  <r>
    <x v="178"/>
    <x v="138"/>
    <x v="28"/>
    <x v="11"/>
    <x v="1"/>
    <x v="9"/>
    <x v="1"/>
    <x v="4"/>
    <x v="7"/>
    <x v="3"/>
    <x v="3"/>
    <x v="1"/>
    <x v="216"/>
    <x v="41"/>
    <x v="0"/>
    <x v="10"/>
    <x v="4"/>
    <x v="0"/>
    <x v="10"/>
    <x v="23"/>
    <x v="12"/>
    <x v="9"/>
    <x v="201"/>
    <x v="1"/>
    <x v="12"/>
    <x v="10"/>
  </r>
  <r>
    <x v="167"/>
    <x v="138"/>
    <x v="2"/>
    <x v="33"/>
    <x v="7"/>
    <x v="1"/>
    <x v="2"/>
    <x v="2"/>
    <x v="3"/>
    <x v="3"/>
    <x v="0"/>
    <x v="2"/>
    <x v="64"/>
    <x v="20"/>
    <x v="0"/>
    <x v="10"/>
    <x v="4"/>
    <x v="2"/>
    <x v="34"/>
    <x v="23"/>
    <x v="29"/>
    <x v="1"/>
    <x v="44"/>
    <x v="1"/>
    <x v="12"/>
    <x v="10"/>
  </r>
  <r>
    <x v="213"/>
    <x v="139"/>
    <x v="17"/>
    <x v="1"/>
    <x v="0"/>
    <x v="6"/>
    <x v="1"/>
    <x v="2"/>
    <x v="8"/>
    <x v="0"/>
    <x v="1"/>
    <x v="2"/>
    <x v="59"/>
    <x v="39"/>
    <x v="0"/>
    <x v="10"/>
    <x v="4"/>
    <x v="2"/>
    <x v="34"/>
    <x v="22"/>
    <x v="2"/>
    <x v="6"/>
    <x v="96"/>
    <x v="1"/>
    <x v="12"/>
    <x v="10"/>
  </r>
  <r>
    <x v="220"/>
    <x v="139"/>
    <x v="32"/>
    <x v="14"/>
    <x v="5"/>
    <x v="8"/>
    <x v="2"/>
    <x v="2"/>
    <x v="4"/>
    <x v="0"/>
    <x v="4"/>
    <x v="1"/>
    <x v="101"/>
    <x v="23"/>
    <x v="0"/>
    <x v="10"/>
    <x v="4"/>
    <x v="2"/>
    <x v="28"/>
    <x v="22"/>
    <x v="14"/>
    <x v="8"/>
    <x v="241"/>
    <x v="1"/>
    <x v="12"/>
    <x v="10"/>
  </r>
  <r>
    <x v="82"/>
    <x v="140"/>
    <x v="16"/>
    <x v="4"/>
    <x v="6"/>
    <x v="3"/>
    <x v="2"/>
    <x v="4"/>
    <x v="6"/>
    <x v="0"/>
    <x v="4"/>
    <x v="2"/>
    <x v="165"/>
    <x v="36"/>
    <x v="0"/>
    <x v="10"/>
    <x v="4"/>
    <x v="1"/>
    <x v="17"/>
    <x v="21"/>
    <x v="3"/>
    <x v="3"/>
    <x v="239"/>
    <x v="1"/>
    <x v="11"/>
    <x v="10"/>
  </r>
  <r>
    <x v="150"/>
    <x v="140"/>
    <x v="39"/>
    <x v="45"/>
    <x v="1"/>
    <x v="9"/>
    <x v="1"/>
    <x v="0"/>
    <x v="7"/>
    <x v="3"/>
    <x v="4"/>
    <x v="0"/>
    <x v="125"/>
    <x v="25"/>
    <x v="0"/>
    <x v="10"/>
    <x v="4"/>
    <x v="2"/>
    <x v="24"/>
    <x v="21"/>
    <x v="42"/>
    <x v="9"/>
    <x v="240"/>
    <x v="1"/>
    <x v="12"/>
    <x v="10"/>
  </r>
  <r>
    <x v="46"/>
    <x v="141"/>
    <x v="41"/>
    <x v="42"/>
    <x v="1"/>
    <x v="9"/>
    <x v="1"/>
    <x v="0"/>
    <x v="7"/>
    <x v="0"/>
    <x v="2"/>
    <x v="1"/>
    <x v="54"/>
    <x v="25"/>
    <x v="0"/>
    <x v="10"/>
    <x v="4"/>
    <x v="3"/>
    <x v="36"/>
    <x v="20"/>
    <x v="38"/>
    <x v="9"/>
    <x v="152"/>
    <x v="1"/>
    <x v="12"/>
    <x v="10"/>
  </r>
  <r>
    <x v="199"/>
    <x v="141"/>
    <x v="36"/>
    <x v="0"/>
    <x v="7"/>
    <x v="1"/>
    <x v="2"/>
    <x v="3"/>
    <x v="3"/>
    <x v="3"/>
    <x v="2"/>
    <x v="1"/>
    <x v="5"/>
    <x v="22"/>
    <x v="0"/>
    <x v="10"/>
    <x v="4"/>
    <x v="3"/>
    <x v="41"/>
    <x v="20"/>
    <x v="0"/>
    <x v="1"/>
    <x v="153"/>
    <x v="1"/>
    <x v="12"/>
    <x v="10"/>
  </r>
  <r>
    <x v="61"/>
    <x v="141"/>
    <x v="15"/>
    <x v="12"/>
    <x v="9"/>
    <x v="5"/>
    <x v="1"/>
    <x v="4"/>
    <x v="2"/>
    <x v="3"/>
    <x v="4"/>
    <x v="1"/>
    <x v="163"/>
    <x v="19"/>
    <x v="0"/>
    <x v="10"/>
    <x v="4"/>
    <x v="1"/>
    <x v="17"/>
    <x v="20"/>
    <x v="11"/>
    <x v="5"/>
    <x v="238"/>
    <x v="1"/>
    <x v="12"/>
    <x v="10"/>
  </r>
  <r>
    <x v="181"/>
    <x v="142"/>
    <x v="30"/>
    <x v="46"/>
    <x v="5"/>
    <x v="8"/>
    <x v="2"/>
    <x v="1"/>
    <x v="4"/>
    <x v="0"/>
    <x v="0"/>
    <x v="1"/>
    <x v="46"/>
    <x v="18"/>
    <x v="0"/>
    <x v="10"/>
    <x v="4"/>
    <x v="3"/>
    <x v="36"/>
    <x v="19"/>
    <x v="46"/>
    <x v="8"/>
    <x v="45"/>
    <x v="1"/>
    <x v="12"/>
    <x v="10"/>
  </r>
  <r>
    <x v="228"/>
    <x v="143"/>
    <x v="14"/>
    <x v="40"/>
    <x v="4"/>
    <x v="0"/>
    <x v="0"/>
    <x v="3"/>
    <x v="0"/>
    <x v="0"/>
    <x v="4"/>
    <x v="2"/>
    <x v="150"/>
    <x v="8"/>
    <x v="0"/>
    <x v="10"/>
    <x v="4"/>
    <x v="1"/>
    <x v="20"/>
    <x v="18"/>
    <x v="39"/>
    <x v="0"/>
    <x v="242"/>
    <x v="1"/>
    <x v="12"/>
    <x v="10"/>
  </r>
  <r>
    <x v="47"/>
    <x v="143"/>
    <x v="47"/>
    <x v="48"/>
    <x v="6"/>
    <x v="3"/>
    <x v="2"/>
    <x v="1"/>
    <x v="6"/>
    <x v="3"/>
    <x v="3"/>
    <x v="0"/>
    <x v="49"/>
    <x v="24"/>
    <x v="0"/>
    <x v="10"/>
    <x v="4"/>
    <x v="3"/>
    <x v="36"/>
    <x v="18"/>
    <x v="47"/>
    <x v="3"/>
    <x v="198"/>
    <x v="1"/>
    <x v="12"/>
    <x v="10"/>
  </r>
  <r>
    <x v="226"/>
    <x v="144"/>
    <x v="16"/>
    <x v="4"/>
    <x v="7"/>
    <x v="1"/>
    <x v="2"/>
    <x v="1"/>
    <x v="3"/>
    <x v="0"/>
    <x v="0"/>
    <x v="0"/>
    <x v="149"/>
    <x v="13"/>
    <x v="0"/>
    <x v="11"/>
    <x v="8"/>
    <x v="1"/>
    <x v="20"/>
    <x v="17"/>
    <x v="3"/>
    <x v="1"/>
    <x v="52"/>
    <x v="1"/>
    <x v="12"/>
    <x v="11"/>
  </r>
  <r>
    <x v="225"/>
    <x v="145"/>
    <x v="38"/>
    <x v="27"/>
    <x v="1"/>
    <x v="9"/>
    <x v="1"/>
    <x v="4"/>
    <x v="7"/>
    <x v="2"/>
    <x v="1"/>
    <x v="1"/>
    <x v="168"/>
    <x v="41"/>
    <x v="0"/>
    <x v="11"/>
    <x v="8"/>
    <x v="1"/>
    <x v="17"/>
    <x v="16"/>
    <x v="28"/>
    <x v="9"/>
    <x v="99"/>
    <x v="1"/>
    <x v="12"/>
    <x v="11"/>
  </r>
  <r>
    <x v="52"/>
    <x v="146"/>
    <x v="42"/>
    <x v="8"/>
    <x v="4"/>
    <x v="0"/>
    <x v="0"/>
    <x v="4"/>
    <x v="0"/>
    <x v="0"/>
    <x v="4"/>
    <x v="1"/>
    <x v="203"/>
    <x v="12"/>
    <x v="0"/>
    <x v="11"/>
    <x v="8"/>
    <x v="1"/>
    <x v="13"/>
    <x v="15"/>
    <x v="6"/>
    <x v="0"/>
    <x v="247"/>
    <x v="1"/>
    <x v="12"/>
    <x v="11"/>
  </r>
  <r>
    <x v="232"/>
    <x v="147"/>
    <x v="22"/>
    <x v="37"/>
    <x v="9"/>
    <x v="5"/>
    <x v="1"/>
    <x v="1"/>
    <x v="2"/>
    <x v="1"/>
    <x v="4"/>
    <x v="1"/>
    <x v="205"/>
    <x v="6"/>
    <x v="0"/>
    <x v="11"/>
    <x v="8"/>
    <x v="1"/>
    <x v="13"/>
    <x v="14"/>
    <x v="35"/>
    <x v="5"/>
    <x v="248"/>
    <x v="1"/>
    <x v="12"/>
    <x v="11"/>
  </r>
  <r>
    <x v="174"/>
    <x v="147"/>
    <x v="29"/>
    <x v="18"/>
    <x v="8"/>
    <x v="7"/>
    <x v="1"/>
    <x v="4"/>
    <x v="5"/>
    <x v="0"/>
    <x v="1"/>
    <x v="2"/>
    <x v="37"/>
    <x v="34"/>
    <x v="0"/>
    <x v="11"/>
    <x v="8"/>
    <x v="3"/>
    <x v="37"/>
    <x v="14"/>
    <x v="18"/>
    <x v="7"/>
    <x v="98"/>
    <x v="1"/>
    <x v="12"/>
    <x v="11"/>
  </r>
  <r>
    <x v="185"/>
    <x v="148"/>
    <x v="38"/>
    <x v="27"/>
    <x v="7"/>
    <x v="1"/>
    <x v="2"/>
    <x v="1"/>
    <x v="3"/>
    <x v="3"/>
    <x v="0"/>
    <x v="1"/>
    <x v="63"/>
    <x v="13"/>
    <x v="0"/>
    <x v="11"/>
    <x v="8"/>
    <x v="2"/>
    <x v="34"/>
    <x v="13"/>
    <x v="28"/>
    <x v="1"/>
    <x v="49"/>
    <x v="1"/>
    <x v="12"/>
    <x v="11"/>
  </r>
  <r>
    <x v="15"/>
    <x v="148"/>
    <x v="34"/>
    <x v="17"/>
    <x v="0"/>
    <x v="6"/>
    <x v="1"/>
    <x v="4"/>
    <x v="8"/>
    <x v="3"/>
    <x v="1"/>
    <x v="1"/>
    <x v="220"/>
    <x v="43"/>
    <x v="0"/>
    <x v="11"/>
    <x v="8"/>
    <x v="0"/>
    <x v="10"/>
    <x v="13"/>
    <x v="17"/>
    <x v="6"/>
    <x v="97"/>
    <x v="1"/>
    <x v="12"/>
    <x v="11"/>
  </r>
  <r>
    <x v="198"/>
    <x v="148"/>
    <x v="16"/>
    <x v="4"/>
    <x v="7"/>
    <x v="1"/>
    <x v="2"/>
    <x v="3"/>
    <x v="3"/>
    <x v="0"/>
    <x v="0"/>
    <x v="2"/>
    <x v="196"/>
    <x v="22"/>
    <x v="0"/>
    <x v="11"/>
    <x v="8"/>
    <x v="1"/>
    <x v="14"/>
    <x v="13"/>
    <x v="3"/>
    <x v="1"/>
    <x v="51"/>
    <x v="1"/>
    <x v="12"/>
    <x v="11"/>
  </r>
  <r>
    <x v="37"/>
    <x v="149"/>
    <x v="34"/>
    <x v="17"/>
    <x v="8"/>
    <x v="7"/>
    <x v="1"/>
    <x v="0"/>
    <x v="5"/>
    <x v="0"/>
    <x v="2"/>
    <x v="2"/>
    <x v="159"/>
    <x v="10"/>
    <x v="0"/>
    <x v="11"/>
    <x v="8"/>
    <x v="1"/>
    <x v="19"/>
    <x v="12"/>
    <x v="17"/>
    <x v="7"/>
    <x v="155"/>
    <x v="1"/>
    <x v="12"/>
    <x v="11"/>
  </r>
  <r>
    <x v="13"/>
    <x v="150"/>
    <x v="32"/>
    <x v="14"/>
    <x v="4"/>
    <x v="0"/>
    <x v="0"/>
    <x v="1"/>
    <x v="0"/>
    <x v="1"/>
    <x v="4"/>
    <x v="0"/>
    <x v="178"/>
    <x v="3"/>
    <x v="0"/>
    <x v="11"/>
    <x v="8"/>
    <x v="1"/>
    <x v="16"/>
    <x v="11"/>
    <x v="14"/>
    <x v="0"/>
    <x v="244"/>
    <x v="1"/>
    <x v="12"/>
    <x v="11"/>
  </r>
  <r>
    <x v="2"/>
    <x v="151"/>
    <x v="1"/>
    <x v="13"/>
    <x v="7"/>
    <x v="1"/>
    <x v="2"/>
    <x v="1"/>
    <x v="3"/>
    <x v="0"/>
    <x v="4"/>
    <x v="1"/>
    <x v="188"/>
    <x v="13"/>
    <x v="0"/>
    <x v="11"/>
    <x v="8"/>
    <x v="1"/>
    <x v="15"/>
    <x v="10"/>
    <x v="13"/>
    <x v="1"/>
    <x v="243"/>
    <x v="1"/>
    <x v="12"/>
    <x v="11"/>
  </r>
  <r>
    <x v="123"/>
    <x v="151"/>
    <x v="39"/>
    <x v="45"/>
    <x v="0"/>
    <x v="6"/>
    <x v="1"/>
    <x v="2"/>
    <x v="8"/>
    <x v="2"/>
    <x v="2"/>
    <x v="1"/>
    <x v="111"/>
    <x v="39"/>
    <x v="0"/>
    <x v="11"/>
    <x v="8"/>
    <x v="2"/>
    <x v="27"/>
    <x v="10"/>
    <x v="42"/>
    <x v="6"/>
    <x v="156"/>
    <x v="1"/>
    <x v="12"/>
    <x v="11"/>
  </r>
  <r>
    <x v="12"/>
    <x v="151"/>
    <x v="23"/>
    <x v="9"/>
    <x v="0"/>
    <x v="6"/>
    <x v="1"/>
    <x v="2"/>
    <x v="8"/>
    <x v="3"/>
    <x v="2"/>
    <x v="0"/>
    <x v="134"/>
    <x v="39"/>
    <x v="0"/>
    <x v="11"/>
    <x v="8"/>
    <x v="2"/>
    <x v="24"/>
    <x v="10"/>
    <x v="9"/>
    <x v="6"/>
    <x v="154"/>
    <x v="1"/>
    <x v="12"/>
    <x v="11"/>
  </r>
  <r>
    <x v="18"/>
    <x v="152"/>
    <x v="22"/>
    <x v="37"/>
    <x v="6"/>
    <x v="3"/>
    <x v="2"/>
    <x v="2"/>
    <x v="6"/>
    <x v="1"/>
    <x v="4"/>
    <x v="1"/>
    <x v="189"/>
    <x v="29"/>
    <x v="0"/>
    <x v="11"/>
    <x v="8"/>
    <x v="1"/>
    <x v="15"/>
    <x v="9"/>
    <x v="35"/>
    <x v="3"/>
    <x v="245"/>
    <x v="1"/>
    <x v="12"/>
    <x v="11"/>
  </r>
  <r>
    <x v="49"/>
    <x v="153"/>
    <x v="0"/>
    <x v="21"/>
    <x v="7"/>
    <x v="1"/>
    <x v="2"/>
    <x v="3"/>
    <x v="3"/>
    <x v="3"/>
    <x v="4"/>
    <x v="2"/>
    <x v="42"/>
    <x v="22"/>
    <x v="0"/>
    <x v="11"/>
    <x v="8"/>
    <x v="3"/>
    <x v="37"/>
    <x v="8"/>
    <x v="21"/>
    <x v="1"/>
    <x v="246"/>
    <x v="0"/>
    <x v="12"/>
    <x v="11"/>
  </r>
  <r>
    <x v="151"/>
    <x v="154"/>
    <x v="43"/>
    <x v="5"/>
    <x v="3"/>
    <x v="2"/>
    <x v="0"/>
    <x v="3"/>
    <x v="1"/>
    <x v="1"/>
    <x v="0"/>
    <x v="0"/>
    <x v="202"/>
    <x v="15"/>
    <x v="0"/>
    <x v="11"/>
    <x v="8"/>
    <x v="1"/>
    <x v="13"/>
    <x v="7"/>
    <x v="5"/>
    <x v="2"/>
    <x v="48"/>
    <x v="1"/>
    <x v="12"/>
    <x v="11"/>
  </r>
  <r>
    <x v="212"/>
    <x v="155"/>
    <x v="19"/>
    <x v="30"/>
    <x v="9"/>
    <x v="5"/>
    <x v="1"/>
    <x v="4"/>
    <x v="2"/>
    <x v="3"/>
    <x v="3"/>
    <x v="0"/>
    <x v="77"/>
    <x v="19"/>
    <x v="0"/>
    <x v="11"/>
    <x v="8"/>
    <x v="2"/>
    <x v="33"/>
    <x v="6"/>
    <x v="33"/>
    <x v="5"/>
    <x v="202"/>
    <x v="1"/>
    <x v="12"/>
    <x v="11"/>
  </r>
  <r>
    <x v="196"/>
    <x v="156"/>
    <x v="47"/>
    <x v="48"/>
    <x v="7"/>
    <x v="1"/>
    <x v="2"/>
    <x v="2"/>
    <x v="3"/>
    <x v="3"/>
    <x v="0"/>
    <x v="2"/>
    <x v="172"/>
    <x v="20"/>
    <x v="0"/>
    <x v="11"/>
    <x v="8"/>
    <x v="1"/>
    <x v="17"/>
    <x v="5"/>
    <x v="47"/>
    <x v="1"/>
    <x v="50"/>
    <x v="1"/>
    <x v="12"/>
    <x v="11"/>
  </r>
  <r>
    <x v="249"/>
    <x v="156"/>
    <x v="25"/>
    <x v="24"/>
    <x v="9"/>
    <x v="5"/>
    <x v="1"/>
    <x v="1"/>
    <x v="2"/>
    <x v="2"/>
    <x v="4"/>
    <x v="1"/>
    <x v="31"/>
    <x v="6"/>
    <x v="0"/>
    <x v="11"/>
    <x v="8"/>
    <x v="3"/>
    <x v="39"/>
    <x v="5"/>
    <x v="24"/>
    <x v="5"/>
    <x v="249"/>
    <x v="1"/>
    <x v="12"/>
    <x v="11"/>
  </r>
  <r>
    <x v="67"/>
    <x v="157"/>
    <x v="43"/>
    <x v="5"/>
    <x v="1"/>
    <x v="9"/>
    <x v="1"/>
    <x v="1"/>
    <x v="7"/>
    <x v="3"/>
    <x v="2"/>
    <x v="2"/>
    <x v="61"/>
    <x v="35"/>
    <x v="0"/>
    <x v="12"/>
    <x v="1"/>
    <x v="3"/>
    <x v="36"/>
    <x v="4"/>
    <x v="5"/>
    <x v="9"/>
    <x v="159"/>
    <x v="1"/>
    <x v="12"/>
    <x v="12"/>
  </r>
  <r>
    <x v="143"/>
    <x v="158"/>
    <x v="28"/>
    <x v="11"/>
    <x v="0"/>
    <x v="6"/>
    <x v="1"/>
    <x v="2"/>
    <x v="8"/>
    <x v="0"/>
    <x v="0"/>
    <x v="2"/>
    <x v="129"/>
    <x v="39"/>
    <x v="0"/>
    <x v="12"/>
    <x v="1"/>
    <x v="2"/>
    <x v="25"/>
    <x v="3"/>
    <x v="12"/>
    <x v="6"/>
    <x v="53"/>
    <x v="1"/>
    <x v="12"/>
    <x v="12"/>
  </r>
  <r>
    <x v="38"/>
    <x v="159"/>
    <x v="47"/>
    <x v="48"/>
    <x v="3"/>
    <x v="2"/>
    <x v="0"/>
    <x v="2"/>
    <x v="1"/>
    <x v="1"/>
    <x v="2"/>
    <x v="0"/>
    <x v="30"/>
    <x v="9"/>
    <x v="0"/>
    <x v="12"/>
    <x v="1"/>
    <x v="3"/>
    <x v="39"/>
    <x v="2"/>
    <x v="47"/>
    <x v="2"/>
    <x v="157"/>
    <x v="1"/>
    <x v="12"/>
    <x v="12"/>
  </r>
  <r>
    <x v="115"/>
    <x v="160"/>
    <x v="8"/>
    <x v="41"/>
    <x v="9"/>
    <x v="5"/>
    <x v="1"/>
    <x v="0"/>
    <x v="2"/>
    <x v="2"/>
    <x v="1"/>
    <x v="0"/>
    <x v="213"/>
    <x v="2"/>
    <x v="0"/>
    <x v="12"/>
    <x v="1"/>
    <x v="1"/>
    <x v="12"/>
    <x v="1"/>
    <x v="41"/>
    <x v="5"/>
    <x v="101"/>
    <x v="1"/>
    <x v="12"/>
    <x v="12"/>
  </r>
  <r>
    <x v="119"/>
    <x v="161"/>
    <x v="44"/>
    <x v="10"/>
    <x v="1"/>
    <x v="9"/>
    <x v="1"/>
    <x v="2"/>
    <x v="7"/>
    <x v="3"/>
    <x v="2"/>
    <x v="0"/>
    <x v="118"/>
    <x v="38"/>
    <x v="0"/>
    <x v="12"/>
    <x v="1"/>
    <x v="2"/>
    <x v="26"/>
    <x v="0"/>
    <x v="10"/>
    <x v="9"/>
    <x v="160"/>
    <x v="1"/>
    <x v="12"/>
    <x v="12"/>
  </r>
  <r>
    <x v="102"/>
    <x v="161"/>
    <x v="38"/>
    <x v="27"/>
    <x v="9"/>
    <x v="5"/>
    <x v="1"/>
    <x v="1"/>
    <x v="2"/>
    <x v="2"/>
    <x v="1"/>
    <x v="0"/>
    <x v="152"/>
    <x v="6"/>
    <x v="0"/>
    <x v="12"/>
    <x v="1"/>
    <x v="1"/>
    <x v="21"/>
    <x v="0"/>
    <x v="28"/>
    <x v="5"/>
    <x v="100"/>
    <x v="1"/>
    <x v="12"/>
    <x v="12"/>
  </r>
  <r>
    <x v="63"/>
    <x v="161"/>
    <x v="30"/>
    <x v="46"/>
    <x v="9"/>
    <x v="5"/>
    <x v="1"/>
    <x v="2"/>
    <x v="2"/>
    <x v="2"/>
    <x v="2"/>
    <x v="1"/>
    <x v="112"/>
    <x v="11"/>
    <x v="0"/>
    <x v="12"/>
    <x v="1"/>
    <x v="2"/>
    <x v="27"/>
    <x v="0"/>
    <x v="46"/>
    <x v="5"/>
    <x v="158"/>
    <x v="1"/>
    <x v="12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D1_Region" cacheId="0" applyNumberFormats="0" applyBorderFormats="0" applyFontFormats="0" applyPatternFormats="0" applyAlignmentFormats="0" applyWidthHeightFormats="0" dataCaption="Values" showDrill="0" itemPrintTitles="1" indent="0" outline="1" outlineData="1">
  <location ref="B68:C74" firstHeaderRow="1" firstDataRow="1" firstDataCol="1" rowPageCount="2" colPageCount="1"/>
  <pivotFields count="26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 defaultSubtotal="0">
      <items count="3">
        <item x="0"/>
        <item x="1"/>
        <item x="2"/>
      </items>
    </pivotField>
    <pivotField compact="0" showAll="0"/>
    <pivotField compact="0" showAll="0"/>
    <pivotField axis="axisPage" compact="0" showAll="0" defaultSubtotal="0">
      <items count="4">
        <item x="0"/>
        <item x="1"/>
        <item x="2"/>
        <item x="3"/>
      </items>
    </pivotField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pageFields count="2">
    <pageField fld="6" hier="-1"/>
    <pageField fld="9" hier="-1"/>
  </pageFields>
  <dataFields count="1">
    <dataField name="Revenue ($)" fld="13" baseField="0" baseItem="0" numFmtId="169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D3_Category" cacheId="0" applyNumberFormats="0" applyBorderFormats="0" applyFontFormats="0" applyPatternFormats="0" applyAlignmentFormats="0" applyWidthHeightFormats="0" dataCaption="Values" showDrill="0" itemPrintTitles="1" indent="0" outline="1" outlineData="1">
  <location ref="E68:F72" firstHeaderRow="1" firstDataRow="1" firstDataCol="1" rowPageCount="2" colPageCount="1"/>
  <pivotFields count="26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axis="axisPage" compact="0" showAll="0" defaultSubtotal="0">
      <items count="4">
        <item x="0"/>
        <item x="1"/>
        <item x="2"/>
        <item x="3"/>
      </items>
    </pivotField>
    <pivotField axis="axisPage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pageFields count="2">
    <pageField fld="10" hier="-1"/>
    <pageField fld="9" hier="-1"/>
  </pageFields>
  <dataFields count="1">
    <dataField name="Revenue ($)" fld="13" baseField="0" baseItem="0" numFmtId="169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D5_Payment" cacheId="0" applyNumberFormats="0" applyBorderFormats="0" applyFontFormats="0" applyPatternFormats="0" applyAlignmentFormats="0" applyWidthHeightFormats="0" dataCaption="Values" showDrill="0" itemPrintTitles="1" indent="0" outline="1" outlineData="1">
  <location ref="H68:I73" firstHeaderRow="1" firstDataRow="1" firstDataCol="1" rowPageCount="2" colPageCount="1"/>
  <pivotFields count="26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 defaultSubtotal="0">
      <items count="3">
        <item x="0"/>
        <item x="1"/>
        <item x="2"/>
      </items>
    </pivotField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axis="axisPage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pageFields count="2">
    <pageField fld="10" hier="-1"/>
    <pageField fld="6" hier="-1"/>
  </pageFields>
  <dataFields count="1">
    <dataField name="Orders" fld="0" subtotal="count" baseField="0" baseItem="0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D2_Monthly" cacheId="0" applyNumberFormats="0" applyBorderFormats="0" applyFontFormats="0" applyPatternFormats="0" applyAlignmentFormats="0" applyWidthHeightFormats="0" dataCaption="Values" showDrill="0" itemPrintTitles="1" indent="0" outline="1" outlineData="1">
  <location ref="K68:L82" firstHeaderRow="1" firstDataRow="1" firstDataCol="1" rowPageCount="2" colPageCount="1"/>
  <pivotFields count="26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axis="axisPage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25"/>
  </rowFields>
  <pageFields count="2">
    <pageField fld="10" hier="-1"/>
    <pageField fld="6" hier="-1"/>
  </pageFields>
  <dataFields count="1">
    <dataField name="Revenue ($)" fld="13" baseField="0" baseItem="0" numFmtId="169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4_Products" cacheId="0" applyNumberFormats="0" applyBorderFormats="0" applyFontFormats="0" applyPatternFormats="0" applyAlignmentFormats="0" applyWidthHeightFormats="0" dataCaption="Values" showDrill="0" itemPrintTitles="1" indent="0" outline="1" outlineData="1">
  <location ref="N68:O79" firstHeaderRow="1" firstDataRow="1" firstDataCol="1" rowPageCount="2" colPageCount="1"/>
  <pivotFields count="26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Page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axis="axisPage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pageFields count="2">
    <pageField fld="10" hier="-1"/>
    <pageField fld="6" hier="-1"/>
  </pageFields>
  <dataFields count="1">
    <dataField name="Revenue ($)" fld="13" baseField="0" baseItem="0" numFmtId="169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B000000}" name="P3_Category" cacheId="0" applyNumberFormats="0" applyBorderFormats="0" applyFontFormats="0" applyPatternFormats="0" applyAlignmentFormats="0" applyWidthHeightFormats="0" dataCaption="Values" showDrill="0" itemPrintTitles="1" indent="0" outline="1" outlineData="1">
  <location ref="I10:J14" firstHeaderRow="1" firstDataRow="1" firstDataCol="1" rowPageCount="2" colPageCount="1"/>
  <pivotFields count="26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axis="axisPage" compact="0" showAll="0" defaultSubtotal="0">
      <items count="4">
        <item x="0"/>
        <item x="1"/>
        <item x="2"/>
        <item x="3"/>
      </items>
    </pivotField>
    <pivotField axis="axisPage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pageFields count="2">
    <pageField fld="10" hier="-1"/>
    <pageField fld="9" hier="-1"/>
  </pageFields>
  <dataFields count="1">
    <dataField name="Revenue ($)" fld="13" baseField="0" baseItem="0" numFmtId="169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P4_Products" cacheId="0" applyNumberFormats="0" applyBorderFormats="0" applyFontFormats="0" applyPatternFormats="0" applyAlignmentFormats="0" applyWidthHeightFormats="0" dataCaption="Values" showDrill="0" itemPrintTitles="1" indent="0" outline="1" outlineData="1">
  <location ref="M10:N21" firstHeaderRow="1" firstDataRow="1" firstDataCol="1" rowPageCount="2" colPageCount="1"/>
  <pivotFields count="26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Page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axis="axisPage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pageFields count="2">
    <pageField fld="10" hier="-1"/>
    <pageField fld="6" hier="-1"/>
  </pageFields>
  <dataFields count="1">
    <dataField name="Revenue ($)" fld="13" baseField="0" baseItem="0" numFmtId="169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P5_Payment" cacheId="0" applyNumberFormats="0" applyBorderFormats="0" applyFontFormats="0" applyPatternFormats="0" applyAlignmentFormats="0" applyWidthHeightFormats="0" dataCaption="Values" showDrill="0" itemPrintTitles="1" indent="0" outline="1" outlineData="1">
  <location ref="Q10:R15" firstHeaderRow="1" firstDataRow="1" firstDataCol="1" rowPageCount="2" colPageCount="1"/>
  <pivotFields count="26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 defaultSubtotal="0">
      <items count="3">
        <item x="0"/>
        <item x="1"/>
        <item x="2"/>
      </items>
    </pivotField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axis="axisPage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pageFields count="2">
    <pageField fld="10" hier="-1"/>
    <pageField fld="6" hier="-1"/>
  </pageFields>
  <dataFields count="1">
    <dataField name="Orders" fld="0" subtotal="count" baseField="0" baseItem="0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P6_Customers" cacheId="0" applyNumberFormats="0" applyBorderFormats="0" applyFontFormats="0" applyPatternFormats="0" applyAlignmentFormats="0" applyWidthHeightFormats="0" dataCaption="Values" showDrill="0" itemPrintTitles="1" indent="0" outline="1" outlineData="1">
  <location ref="U10:V61" firstHeaderRow="1" firstDataRow="1" firstDataCol="1" rowPageCount="2" colPageCount="1"/>
  <pivotFields count="26">
    <pivotField compact="0" showAll="0"/>
    <pivotField compact="0" showAll="0"/>
    <pivotField compact="0" showAll="0"/>
    <pivotField axis="axisRow" compact="0" showAll="0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compact="0" showAll="0"/>
    <pivotField compact="0" showAll="0"/>
    <pivotField axis="axisPage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axis="axisPage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pageFields count="2">
    <pageField fld="10" hier="-1"/>
    <pageField fld="6" hier="-1"/>
  </pageFields>
  <dataFields count="1">
    <dataField name="Revenue ($)" fld="13" baseField="0" baseItem="0" numFmtId="169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P1_Region" cacheId="0" applyNumberFormats="0" applyBorderFormats="0" applyFontFormats="0" applyPatternFormats="0" applyAlignmentFormats="0" applyWidthHeightFormats="0" dataCaption="Values" showDrill="0" itemPrintTitles="1" indent="0" outline="1" outlineData="1">
  <location ref="A10:B16" firstHeaderRow="1" firstDataRow="1" firstDataCol="1" rowPageCount="2" colPageCount="1"/>
  <pivotFields count="26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 defaultSubtotal="0">
      <items count="3">
        <item x="0"/>
        <item x="1"/>
        <item x="2"/>
      </items>
    </pivotField>
    <pivotField compact="0" showAll="0"/>
    <pivotField compact="0" showAll="0"/>
    <pivotField axis="axisPage" compact="0" showAll="0" defaultSubtotal="0">
      <items count="4">
        <item x="0"/>
        <item x="1"/>
        <item x="2"/>
        <item x="3"/>
      </items>
    </pivotField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pageFields count="2">
    <pageField fld="6" hier="-1"/>
    <pageField fld="9" hier="-1"/>
  </pageFields>
  <dataFields count="1">
    <dataField name="Revenue ($)" fld="13" baseField="0" baseItem="0" numFmtId="169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2_Monthly" cacheId="0" applyNumberFormats="0" applyBorderFormats="0" applyFontFormats="0" applyPatternFormats="0" applyAlignmentFormats="0" applyWidthHeightFormats="0" dataCaption="Values" showDrill="0" itemPrintTitles="1" indent="0" outline="1" outlineData="1">
  <location ref="E10:F24" firstHeaderRow="1" firstDataRow="1" firstDataCol="1" rowPageCount="2" colPageCount="1"/>
  <pivotFields count="26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axis="axisPage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25"/>
  </rowFields>
  <pageFields count="2">
    <pageField fld="10" hier="-1"/>
    <pageField fld="6" hier="-1"/>
  </pageFields>
  <dataFields count="1">
    <dataField name="Revenue ($)" fld="13" baseField="0" baseItem="0" numFmtId="169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7_Region_x_Category" cacheId="0" applyNumberFormats="0" applyBorderFormats="0" applyFontFormats="0" applyPatternFormats="0" applyAlignmentFormats="0" applyWidthHeightFormats="0" dataCaption="Values" showDrill="0" itemPrintTitles="1" indent="0" outline="1" outlineData="1">
  <location ref="Y9:AC16" firstHeaderRow="1" firstDataRow="2" firstDataCol="1" rowPageCount="1" colPageCount="1"/>
  <pivotFields count="26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3">
        <item x="0"/>
        <item x="1"/>
        <item x="2"/>
      </items>
    </pivotField>
    <pivotField compact="0" showAll="0"/>
    <pivotField compact="0" showAll="0"/>
    <pivotField axis="axisPage" compact="0" showAll="0" defaultSubtotal="0">
      <items count="4">
        <item x="0"/>
        <item x="1"/>
        <item x="2"/>
        <item x="3"/>
      </items>
    </pivotField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colFields count="1">
    <field x="6"/>
  </colFields>
  <pageFields count="1">
    <pageField fld="9" hier="-1"/>
  </pageFields>
  <dataFields count="1">
    <dataField name="Revenue ($)" fld="13" baseField="0" baseItem="0" numFmtId="169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Z251" totalsRowShown="0">
  <autoFilter ref="A1:Z251" xr:uid="{00000000-0009-0000-0100-000001000000}"/>
  <tableColumns count="26">
    <tableColumn id="1" xr3:uid="{00000000-0010-0000-0000-000001000000}" name="Transaction_ID"/>
    <tableColumn id="2" xr3:uid="{00000000-0010-0000-0000-000002000000}" name="Date"/>
    <tableColumn id="3" xr3:uid="{00000000-0010-0000-0000-000003000000}" name="Customer_ID"/>
    <tableColumn id="4" xr3:uid="{00000000-0010-0000-0000-000004000000}" name="Customer_Name"/>
    <tableColumn id="5" xr3:uid="{00000000-0010-0000-0000-000005000000}" name="Product_ID"/>
    <tableColumn id="6" xr3:uid="{00000000-0010-0000-0000-000006000000}" name="Product_Name"/>
    <tableColumn id="7" xr3:uid="{00000000-0010-0000-0000-000007000000}" name="Category"/>
    <tableColumn id="8" xr3:uid="{00000000-0010-0000-0000-000008000000}" name="Quantity"/>
    <tableColumn id="9" xr3:uid="{00000000-0010-0000-0000-000009000000}" name="Unit_Price"/>
    <tableColumn id="10" xr3:uid="{00000000-0010-0000-0000-00000A000000}" name="Payment_Method"/>
    <tableColumn id="11" xr3:uid="{00000000-0010-0000-0000-00000B000000}" name="Region"/>
    <tableColumn id="12" xr3:uid="{00000000-0010-0000-0000-00000C000000}" name="Customer_Segment"/>
    <tableColumn id="13" xr3:uid="{00000000-0010-0000-0000-00000D000000}" name="Customer_Since"/>
    <tableColumn id="14" xr3:uid="{00000000-0010-0000-0000-00000E000000}" name="Total_Amount"/>
    <tableColumn id="15" xr3:uid="{00000000-0010-0000-0000-00000F000000}" name="Check"/>
    <tableColumn id="16" xr3:uid="{00000000-0010-0000-0000-000010000000}" name="Month_End"/>
    <tableColumn id="17" xr3:uid="{00000000-0010-0000-0000-000011000000}" name="Month_Label"/>
    <tableColumn id="18" xr3:uid="{00000000-0010-0000-0000-000012000000}" name="Tenure_Years"/>
    <tableColumn id="19" xr3:uid="{00000000-0010-0000-0000-000013000000}" name="Tenure_Months"/>
    <tableColumn id="20" xr3:uid="{00000000-0010-0000-0000-000014000000}" name="Days_Since_Sale"/>
    <tableColumn id="21" xr3:uid="{00000000-0010-0000-0000-000015000000}" name="Initials"/>
    <tableColumn id="22" xr3:uid="{00000000-0010-0000-0000-000016000000}" name="Product_Code"/>
    <tableColumn id="23" xr3:uid="{00000000-0010-0000-0000-000017000000}" name="Order_Code"/>
    <tableColumn id="24" xr3:uid="{00000000-0010-0000-0000-000018000000}" name="Repeat_Flag"/>
    <tableColumn id="25" xr3:uid="{00000000-0010-0000-0000-000019000000}" name="Filter_Seq"/>
    <tableColumn id="26" xr3:uid="{00000000-0010-0000-0000-00001A000000}" name="Year_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B1:S100"/>
  <sheetViews>
    <sheetView showGridLines="0" zoomScale="90" zoomScaleNormal="90" workbookViewId="0"/>
  </sheetViews>
  <sheetFormatPr baseColWidth="10" defaultColWidth="8.6640625" defaultRowHeight="15" x14ac:dyDescent="0.2"/>
  <cols>
    <col min="1" max="1" width="2" customWidth="1"/>
    <col min="2" max="19" width="12.5" customWidth="1"/>
    <col min="20" max="20" width="2" customWidth="1"/>
  </cols>
  <sheetData>
    <row r="1" spans="2:19" ht="48" customHeight="1" x14ac:dyDescent="0.2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2:19" ht="19.5" customHeight="1" x14ac:dyDescent="0.2">
      <c r="B2" s="13" t="str">
        <f ca="1">"Customer transactions  |  "&amp;TEXT(Analysis!B8,"dd mmm yyyy")&amp;" to "&amp;TEXT(Analysis!B9,"dd mmm yyyy")&amp;"  |  "&amp;Analysis!B25&amp;" orders  |  Refreshed "&amp;TEXT(NOW(),"dd mmm yyyy hh:mm")</f>
        <v>Customer transactions  |  11 Apr 2024 to 11 Apr 2025  |  250 orders  |  Refreshed 23 Oct 2026 15:33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4" spans="2:19" ht="21.75" customHeight="1" x14ac:dyDescent="0.2">
      <c r="B4" s="12" t="s">
        <v>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2:19" ht="18" customHeight="1" x14ac:dyDescent="0.2">
      <c r="B5" s="11" t="s">
        <v>2</v>
      </c>
      <c r="C5" s="11"/>
      <c r="D5" s="11"/>
      <c r="E5" s="10" t="s">
        <v>3</v>
      </c>
      <c r="F5" s="10"/>
      <c r="G5" s="10"/>
      <c r="H5" s="9" t="s">
        <v>4</v>
      </c>
      <c r="I5" s="9"/>
      <c r="J5" s="9"/>
      <c r="K5" s="8" t="s">
        <v>5</v>
      </c>
      <c r="L5" s="8"/>
      <c r="M5" s="8"/>
      <c r="N5" s="7" t="s">
        <v>6</v>
      </c>
      <c r="O5" s="7"/>
      <c r="P5" s="7"/>
      <c r="Q5" s="6" t="s">
        <v>7</v>
      </c>
      <c r="R5" s="6"/>
      <c r="S5" s="6"/>
    </row>
    <row r="6" spans="2:19" ht="39.75" customHeight="1" x14ac:dyDescent="0.2">
      <c r="B6" s="5">
        <f>Analysis!$B$24</f>
        <v>229192.47000000032</v>
      </c>
      <c r="C6" s="5"/>
      <c r="D6" s="5"/>
      <c r="E6" s="4">
        <f>Analysis!$B$25</f>
        <v>250</v>
      </c>
      <c r="F6" s="4"/>
      <c r="G6" s="4"/>
      <c r="H6" s="4">
        <f>Analysis!$B$26</f>
        <v>753</v>
      </c>
      <c r="I6" s="4"/>
      <c r="J6" s="4"/>
      <c r="K6" s="5">
        <f>Analysis!$B$27</f>
        <v>916.76988000000131</v>
      </c>
      <c r="L6" s="5"/>
      <c r="M6" s="5"/>
      <c r="N6" s="3">
        <f>Analysis!$B$28</f>
        <v>50</v>
      </c>
      <c r="O6" s="3"/>
      <c r="P6" s="3"/>
      <c r="Q6" s="2">
        <f>Analysis!$B$30</f>
        <v>0.94</v>
      </c>
      <c r="R6" s="2"/>
      <c r="S6" s="2"/>
    </row>
    <row r="7" spans="2:19" ht="19.5" customHeight="1" x14ac:dyDescent="0.2">
      <c r="B7" s="1" t="str">
        <f>IF(H51&gt;=0,"▲ ","▼ ")&amp;TEXT(ABS(H51),"0.0%")&amp;" vs target"</f>
        <v>▼ 4.5% vs target</v>
      </c>
      <c r="C7" s="1"/>
      <c r="D7" s="1"/>
      <c r="E7" s="1" t="str">
        <f>IF(H52&gt;=0,"▲ ","▼ ")&amp;TEXT(ABS(H52),"0.0%")&amp;" vs target"</f>
        <v>▼ 3.8% vs target</v>
      </c>
      <c r="F7" s="1"/>
      <c r="G7" s="1"/>
      <c r="H7" s="1" t="str">
        <f>TEXT(Analysis!$B$26/Analysis!$B$25,"0.0")&amp;" units per order"</f>
        <v>3.0 units per order</v>
      </c>
      <c r="I7" s="1"/>
      <c r="J7" s="1"/>
      <c r="K7" s="1" t="str">
        <f>IF(H53&gt;=0,"▲ ","▼ ")&amp;TEXT(ABS(H53),"0.0%")&amp;" vs target"</f>
        <v>▲ 1.9% vs target</v>
      </c>
      <c r="L7" s="1"/>
      <c r="M7" s="1"/>
      <c r="N7" s="1" t="str">
        <f>Analysis!$B$29&amp;" repeat buyers"</f>
        <v>47 repeat buyers</v>
      </c>
      <c r="O7" s="1"/>
      <c r="P7" s="1"/>
      <c r="Q7" s="1" t="str">
        <f>IF(H54&gt;=0,"▲ ","▼ ")&amp;TEXT(ABS(H54),"0.0%")&amp;" vs target"</f>
        <v>▼ 1.1% vs target</v>
      </c>
      <c r="R7" s="1"/>
      <c r="S7" s="1"/>
    </row>
    <row r="9" spans="2:19" ht="21.75" customHeight="1" x14ac:dyDescent="0.2">
      <c r="B9" s="12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2:19" x14ac:dyDescent="0.2">
      <c r="B10" s="114" t="s">
        <v>9</v>
      </c>
      <c r="C10" s="114"/>
      <c r="D10" s="114"/>
      <c r="E10" s="114" t="s">
        <v>10</v>
      </c>
      <c r="F10" s="114"/>
      <c r="G10" s="114"/>
      <c r="H10" s="114" t="s">
        <v>11</v>
      </c>
      <c r="I10" s="114"/>
      <c r="J10" s="114"/>
      <c r="K10" s="114" t="s">
        <v>12</v>
      </c>
      <c r="L10" s="114"/>
      <c r="M10" s="114"/>
      <c r="N10" s="114" t="s">
        <v>13</v>
      </c>
      <c r="O10" s="114"/>
      <c r="P10" s="114"/>
      <c r="Q10" s="114" t="s">
        <v>14</v>
      </c>
      <c r="R10" s="114"/>
      <c r="S10" s="114"/>
    </row>
    <row r="11" spans="2:19" ht="24" customHeight="1" x14ac:dyDescent="0.2">
      <c r="B11" s="115" t="s">
        <v>15</v>
      </c>
      <c r="C11" s="115"/>
      <c r="D11" s="115"/>
      <c r="E11" s="115" t="s">
        <v>15</v>
      </c>
      <c r="F11" s="115"/>
      <c r="G11" s="115"/>
      <c r="H11" s="115" t="s">
        <v>15</v>
      </c>
      <c r="I11" s="115"/>
      <c r="J11" s="115"/>
      <c r="K11" s="115" t="s">
        <v>15</v>
      </c>
      <c r="L11" s="115"/>
      <c r="M11" s="115"/>
      <c r="N11" s="116">
        <v>45383</v>
      </c>
      <c r="O11" s="116"/>
      <c r="P11" s="116"/>
      <c r="Q11" s="116">
        <v>45777</v>
      </c>
      <c r="R11" s="116"/>
      <c r="S11" s="116"/>
    </row>
    <row r="13" spans="2:19" x14ac:dyDescent="0.2">
      <c r="B13" s="117" t="s">
        <v>16</v>
      </c>
      <c r="C13" s="117"/>
      <c r="D13" s="117"/>
      <c r="E13" s="117" t="s">
        <v>17</v>
      </c>
      <c r="F13" s="117"/>
      <c r="G13" s="117"/>
      <c r="H13" s="117" t="s">
        <v>18</v>
      </c>
      <c r="I13" s="117"/>
      <c r="J13" s="117"/>
      <c r="K13" s="117" t="s">
        <v>19</v>
      </c>
      <c r="L13" s="117"/>
      <c r="M13" s="117"/>
      <c r="N13" s="117" t="s">
        <v>20</v>
      </c>
      <c r="O13" s="117"/>
      <c r="P13" s="117"/>
      <c r="Q13" s="117" t="s">
        <v>21</v>
      </c>
      <c r="R13" s="117"/>
      <c r="S13" s="117"/>
    </row>
    <row r="14" spans="2:19" ht="25.5" customHeight="1" x14ac:dyDescent="0.2">
      <c r="B14" s="118">
        <f>Calc!B70</f>
        <v>229192.47000000032</v>
      </c>
      <c r="C14" s="118"/>
      <c r="D14" s="118"/>
      <c r="E14" s="119">
        <f>Calc!B71</f>
        <v>250</v>
      </c>
      <c r="F14" s="119"/>
      <c r="G14" s="119"/>
      <c r="H14" s="119">
        <f>Calc!B72</f>
        <v>753</v>
      </c>
      <c r="I14" s="119"/>
      <c r="J14" s="119"/>
      <c r="K14" s="118">
        <f>Calc!B73</f>
        <v>916.76988000000131</v>
      </c>
      <c r="L14" s="118"/>
      <c r="M14" s="118"/>
      <c r="N14" s="120">
        <f>Calc!B74</f>
        <v>1</v>
      </c>
      <c r="O14" s="120"/>
      <c r="P14" s="120"/>
      <c r="Q14" s="121" t="str">
        <f>Calc!B75</f>
        <v>Full dataset (no filters)</v>
      </c>
      <c r="R14" s="121"/>
      <c r="S14" s="121"/>
    </row>
    <row r="16" spans="2:19" ht="21.75" customHeight="1" x14ac:dyDescent="0.2">
      <c r="B16" s="12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2:19" x14ac:dyDescent="0.2">
      <c r="B17" s="122" t="s">
        <v>23</v>
      </c>
      <c r="C17" s="122"/>
      <c r="D17" s="122"/>
      <c r="E17" s="122"/>
      <c r="F17" s="122"/>
      <c r="G17" s="122"/>
      <c r="H17" s="122"/>
      <c r="I17" s="122"/>
      <c r="J17" s="122"/>
      <c r="K17" s="122" t="s">
        <v>24</v>
      </c>
      <c r="L17" s="122"/>
      <c r="M17" s="122"/>
      <c r="N17" s="122"/>
      <c r="O17" s="122"/>
      <c r="P17" s="122"/>
      <c r="Q17" s="122"/>
      <c r="R17" s="122"/>
      <c r="S17" s="122"/>
    </row>
    <row r="33" spans="2:19" x14ac:dyDescent="0.2">
      <c r="B33" s="122" t="s">
        <v>25</v>
      </c>
      <c r="C33" s="122"/>
      <c r="D33" s="122"/>
      <c r="E33" s="122"/>
      <c r="F33" s="122"/>
      <c r="G33" s="122"/>
      <c r="H33" s="122" t="s">
        <v>26</v>
      </c>
      <c r="I33" s="122"/>
      <c r="J33" s="122"/>
      <c r="K33" s="122"/>
      <c r="L33" s="122"/>
      <c r="M33" s="122"/>
      <c r="N33" s="122" t="s">
        <v>27</v>
      </c>
      <c r="O33" s="122"/>
      <c r="P33" s="122"/>
      <c r="Q33" s="122"/>
      <c r="R33" s="122"/>
      <c r="S33" s="122"/>
    </row>
    <row r="49" spans="2:19" ht="21.75" customHeight="1" x14ac:dyDescent="0.2">
      <c r="B49" s="12" t="s">
        <v>28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2:19" x14ac:dyDescent="0.2">
      <c r="B50" s="123" t="s">
        <v>29</v>
      </c>
      <c r="C50" s="123"/>
      <c r="D50" s="123" t="s">
        <v>30</v>
      </c>
      <c r="E50" s="123"/>
      <c r="F50" s="123" t="s">
        <v>31</v>
      </c>
      <c r="G50" s="123"/>
      <c r="H50" s="20" t="s">
        <v>32</v>
      </c>
      <c r="I50" s="123" t="s">
        <v>33</v>
      </c>
      <c r="J50" s="123"/>
      <c r="K50" s="20" t="s">
        <v>34</v>
      </c>
      <c r="L50" s="123" t="s">
        <v>35</v>
      </c>
      <c r="M50" s="123"/>
      <c r="N50" s="123"/>
      <c r="O50" s="123" t="s">
        <v>36</v>
      </c>
      <c r="P50" s="123"/>
      <c r="Q50" s="123" t="s">
        <v>37</v>
      </c>
      <c r="R50" s="123"/>
      <c r="S50" s="123"/>
    </row>
    <row r="51" spans="2:19" x14ac:dyDescent="0.2">
      <c r="B51" s="124" t="s">
        <v>38</v>
      </c>
      <c r="C51" s="124"/>
      <c r="D51" s="125">
        <f>Analysis!$B$24</f>
        <v>229192.47000000032</v>
      </c>
      <c r="E51" s="125"/>
      <c r="F51" s="126">
        <v>240000</v>
      </c>
      <c r="G51" s="126"/>
      <c r="H51" s="21">
        <f>D51/F51-1</f>
        <v>-4.5031374999998652E-2</v>
      </c>
      <c r="I51" s="127" t="str">
        <f>IF(H51&gt;=0,"On target",IF(H51&gt;=-0.1,"Watch","Behind"))</f>
        <v>Watch</v>
      </c>
      <c r="J51" s="127"/>
      <c r="K51" s="22">
        <f>Customers!L4</f>
        <v>1</v>
      </c>
      <c r="L51" s="128" t="str">
        <f>Customers!M4</f>
        <v>Mark Carter</v>
      </c>
      <c r="M51" s="128"/>
      <c r="N51" s="128"/>
      <c r="O51" s="129">
        <f>Customers!N4</f>
        <v>15659.65</v>
      </c>
      <c r="P51" s="129"/>
      <c r="Q51" s="130">
        <f>Customers!O4</f>
        <v>6.8325324998678966E-2</v>
      </c>
      <c r="R51" s="130"/>
      <c r="S51" s="130"/>
    </row>
    <row r="52" spans="2:19" x14ac:dyDescent="0.2">
      <c r="B52" s="131" t="s">
        <v>39</v>
      </c>
      <c r="C52" s="131"/>
      <c r="D52" s="132">
        <f>Analysis!$B$25</f>
        <v>250</v>
      </c>
      <c r="E52" s="132"/>
      <c r="F52" s="133">
        <v>260</v>
      </c>
      <c r="G52" s="133"/>
      <c r="H52" s="23">
        <f>D52/F52-1</f>
        <v>-3.8461538461538436E-2</v>
      </c>
      <c r="I52" s="134" t="str">
        <f>IF(H52&gt;=0,"On target",IF(H52&gt;=-0.1,"Watch","Behind"))</f>
        <v>Watch</v>
      </c>
      <c r="J52" s="134"/>
      <c r="K52" s="24">
        <f>Customers!L5</f>
        <v>2</v>
      </c>
      <c r="L52" s="135" t="str">
        <f>Customers!M5</f>
        <v>Edward Mitchell</v>
      </c>
      <c r="M52" s="135"/>
      <c r="N52" s="135"/>
      <c r="O52" s="136">
        <f>Customers!N5</f>
        <v>11919.769999999999</v>
      </c>
      <c r="P52" s="136"/>
      <c r="Q52" s="137">
        <f>Customers!O5</f>
        <v>5.2007685941863543E-2</v>
      </c>
      <c r="R52" s="137"/>
      <c r="S52" s="137"/>
    </row>
    <row r="53" spans="2:19" x14ac:dyDescent="0.2">
      <c r="B53" s="124" t="s">
        <v>40</v>
      </c>
      <c r="C53" s="124"/>
      <c r="D53" s="125">
        <f>Analysis!$B$27</f>
        <v>916.76988000000131</v>
      </c>
      <c r="E53" s="125"/>
      <c r="F53" s="126">
        <v>900</v>
      </c>
      <c r="G53" s="126"/>
      <c r="H53" s="21">
        <f>D53/F53-1</f>
        <v>1.8633200000001349E-2</v>
      </c>
      <c r="I53" s="127" t="str">
        <f>IF(H53&gt;=0,"On target",IF(H53&gt;=-0.1,"Watch","Behind"))</f>
        <v>On target</v>
      </c>
      <c r="J53" s="127"/>
      <c r="K53" s="22">
        <f>Customers!L6</f>
        <v>3</v>
      </c>
      <c r="L53" s="128" t="str">
        <f>Customers!M6</f>
        <v>Barbara Young</v>
      </c>
      <c r="M53" s="128"/>
      <c r="N53" s="128"/>
      <c r="O53" s="129">
        <f>Customers!N6</f>
        <v>10649.8</v>
      </c>
      <c r="P53" s="129"/>
      <c r="Q53" s="130">
        <f>Customers!O6</f>
        <v>4.6466622572722327E-2</v>
      </c>
      <c r="R53" s="130"/>
      <c r="S53" s="130"/>
    </row>
    <row r="54" spans="2:19" x14ac:dyDescent="0.2">
      <c r="B54" s="131" t="s">
        <v>41</v>
      </c>
      <c r="C54" s="131"/>
      <c r="D54" s="137">
        <f>Analysis!$B$30</f>
        <v>0.94</v>
      </c>
      <c r="E54" s="137"/>
      <c r="F54" s="138">
        <v>0.95</v>
      </c>
      <c r="G54" s="138"/>
      <c r="H54" s="23">
        <f>D54/F54-1</f>
        <v>-1.0526315789473717E-2</v>
      </c>
      <c r="I54" s="134" t="str">
        <f>IF(H54&gt;=0,"On target",IF(H54&gt;=-0.1,"Watch","Behind"))</f>
        <v>Watch</v>
      </c>
      <c r="J54" s="134"/>
      <c r="K54" s="24">
        <f>Customers!L7</f>
        <v>4</v>
      </c>
      <c r="L54" s="135" t="str">
        <f>Customers!M7</f>
        <v>Patricia Moore</v>
      </c>
      <c r="M54" s="135"/>
      <c r="N54" s="135"/>
      <c r="O54" s="136">
        <f>Customers!N7</f>
        <v>9799.73</v>
      </c>
      <c r="P54" s="136"/>
      <c r="Q54" s="137">
        <f>Customers!O7</f>
        <v>4.2757643826605587E-2</v>
      </c>
      <c r="R54" s="137"/>
      <c r="S54" s="137"/>
    </row>
    <row r="55" spans="2:19" x14ac:dyDescent="0.2">
      <c r="B55" s="124" t="s">
        <v>42</v>
      </c>
      <c r="C55" s="124"/>
      <c r="D55" s="125">
        <f>Analysis!E101</f>
        <v>19899.379999999997</v>
      </c>
      <c r="E55" s="125"/>
      <c r="F55" s="125">
        <f>AVERAGE(Analysis!E90:E100)</f>
        <v>18392.114545454544</v>
      </c>
      <c r="G55" s="125"/>
      <c r="H55" s="21">
        <f>D55/F55-1</f>
        <v>8.1951721800142874E-2</v>
      </c>
      <c r="I55" s="127" t="str">
        <f>IF(H55&gt;=0,"On target",IF(H55&gt;=-0.1,"Watch","Behind"))</f>
        <v>On target</v>
      </c>
      <c r="J55" s="127"/>
      <c r="K55" s="22">
        <f>Customers!L8</f>
        <v>5</v>
      </c>
      <c r="L55" s="128" t="str">
        <f>Customers!M8</f>
        <v>Paul Baker</v>
      </c>
      <c r="M55" s="128"/>
      <c r="N55" s="128"/>
      <c r="O55" s="129">
        <f>Customers!N8</f>
        <v>8309.739999999998</v>
      </c>
      <c r="P55" s="129"/>
      <c r="Q55" s="130">
        <f>Customers!O8</f>
        <v>3.6256601274902212E-2</v>
      </c>
      <c r="R55" s="130"/>
      <c r="S55" s="130"/>
    </row>
    <row r="56" spans="2:19" x14ac:dyDescent="0.2">
      <c r="B56" s="16" t="s">
        <v>43</v>
      </c>
      <c r="K56" s="24">
        <f>Customers!L9</f>
        <v>6</v>
      </c>
      <c r="L56" s="135" t="str">
        <f>Customers!M9</f>
        <v>Dorothy Nelson</v>
      </c>
      <c r="M56" s="135"/>
      <c r="N56" s="135"/>
      <c r="O56" s="136">
        <f>Customers!N9</f>
        <v>8269.7900000000009</v>
      </c>
      <c r="P56" s="136"/>
      <c r="Q56" s="137">
        <f>Customers!O9</f>
        <v>3.6082293628582077E-2</v>
      </c>
      <c r="R56" s="137"/>
      <c r="S56" s="137"/>
    </row>
    <row r="57" spans="2:19" x14ac:dyDescent="0.2">
      <c r="K57" s="22">
        <f>Customers!L10</f>
        <v>7</v>
      </c>
      <c r="L57" s="128" t="str">
        <f>Customers!M10</f>
        <v>Karen Hill</v>
      </c>
      <c r="M57" s="128"/>
      <c r="N57" s="128"/>
      <c r="O57" s="129">
        <f>Customers!N10</f>
        <v>8009.7699999999995</v>
      </c>
      <c r="P57" s="129"/>
      <c r="Q57" s="130">
        <f>Customers!O10</f>
        <v>3.4947788642445313E-2</v>
      </c>
      <c r="R57" s="130"/>
      <c r="S57" s="130"/>
    </row>
    <row r="58" spans="2:19" x14ac:dyDescent="0.2">
      <c r="B58" s="25" t="s">
        <v>44</v>
      </c>
      <c r="K58" s="24">
        <f>Customers!L11</f>
        <v>8</v>
      </c>
      <c r="L58" s="135" t="str">
        <f>Customers!M11</f>
        <v>Daniel King</v>
      </c>
      <c r="M58" s="135"/>
      <c r="N58" s="135"/>
      <c r="O58" s="136">
        <f>Customers!N11</f>
        <v>7309.7999999999993</v>
      </c>
      <c r="P58" s="136"/>
      <c r="Q58" s="137">
        <f>Customers!O11</f>
        <v>3.18937179742423E-2</v>
      </c>
      <c r="R58" s="137"/>
      <c r="S58" s="137"/>
    </row>
    <row r="59" spans="2:19" x14ac:dyDescent="0.2">
      <c r="B59" s="139" t="s">
        <v>45</v>
      </c>
      <c r="C59" s="139"/>
      <c r="D59" s="140">
        <f>COUNTIF(Customers!$G$4:$G$53,"High-Value")</f>
        <v>10</v>
      </c>
      <c r="E59" s="140"/>
      <c r="F59" s="141">
        <f>SUMIF(Customers!$G$4:$G$53,"High-Value",Customers!$C$4:$C$53)</f>
        <v>93867.66</v>
      </c>
      <c r="G59" s="141"/>
      <c r="H59" s="142">
        <f>F59/Analysis!$B$24</f>
        <v>0.40955821977920948</v>
      </c>
      <c r="I59" s="142"/>
      <c r="J59" s="142"/>
      <c r="K59" s="22">
        <f>Customers!L12</f>
        <v>9</v>
      </c>
      <c r="L59" s="128" t="str">
        <f>Customers!M12</f>
        <v>Lawrence Reed</v>
      </c>
      <c r="M59" s="128"/>
      <c r="N59" s="128"/>
      <c r="O59" s="129">
        <f>Customers!N12</f>
        <v>6989.7699999999986</v>
      </c>
      <c r="P59" s="129"/>
      <c r="Q59" s="130">
        <f>Customers!O12</f>
        <v>3.0497380651292726E-2</v>
      </c>
      <c r="R59" s="130"/>
      <c r="S59" s="130"/>
    </row>
    <row r="60" spans="2:19" x14ac:dyDescent="0.2">
      <c r="B60" s="139" t="s">
        <v>46</v>
      </c>
      <c r="C60" s="139"/>
      <c r="D60" s="140">
        <f>COUNTIF(Customers!$G$4:$G$53,"Mid")</f>
        <v>15</v>
      </c>
      <c r="E60" s="140"/>
      <c r="F60" s="141">
        <f>SUMIF(Customers!$G$4:$G$53,"Mid",Customers!$C$4:$C$53)</f>
        <v>82107.47</v>
      </c>
      <c r="G60" s="141"/>
      <c r="H60" s="142">
        <f>F60/Analysis!$B$24</f>
        <v>0.35824680453070684</v>
      </c>
      <c r="I60" s="142"/>
      <c r="J60" s="142"/>
      <c r="K60" s="24">
        <f>Customers!L13</f>
        <v>10</v>
      </c>
      <c r="L60" s="135" t="str">
        <f>Customers!M13</f>
        <v>Joseph Jackson</v>
      </c>
      <c r="M60" s="135"/>
      <c r="N60" s="135"/>
      <c r="O60" s="136">
        <f>Customers!N13</f>
        <v>6949.84</v>
      </c>
      <c r="P60" s="136"/>
      <c r="Q60" s="137">
        <f>Customers!O13</f>
        <v>3.0323160267874377E-2</v>
      </c>
      <c r="R60" s="137"/>
      <c r="S60" s="137"/>
    </row>
    <row r="61" spans="2:19" x14ac:dyDescent="0.2">
      <c r="B61" s="139" t="s">
        <v>47</v>
      </c>
      <c r="C61" s="139"/>
      <c r="D61" s="140">
        <f>COUNTIF(Customers!$G$4:$G$53,"Low")</f>
        <v>25</v>
      </c>
      <c r="E61" s="140"/>
      <c r="F61" s="141">
        <f>SUMIF(Customers!$G$4:$G$53,"Low",Customers!$C$4:$C$53)</f>
        <v>53217.34</v>
      </c>
      <c r="G61" s="141"/>
      <c r="H61" s="142">
        <f>F61/Analysis!$B$24</f>
        <v>0.23219497569008232</v>
      </c>
      <c r="I61" s="142"/>
      <c r="J61" s="142"/>
    </row>
    <row r="62" spans="2:19" ht="21.75" customHeight="1" x14ac:dyDescent="0.2">
      <c r="B62" s="12" t="s">
        <v>48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2:19" x14ac:dyDescent="0.2">
      <c r="B63" s="143" t="s">
        <v>24</v>
      </c>
      <c r="C63" s="143"/>
      <c r="E63" s="143" t="s">
        <v>25</v>
      </c>
      <c r="F63" s="143"/>
      <c r="H63" s="143" t="s">
        <v>49</v>
      </c>
      <c r="I63" s="143"/>
      <c r="K63" s="143" t="s">
        <v>50</v>
      </c>
      <c r="L63" s="143"/>
      <c r="N63" s="143" t="s">
        <v>51</v>
      </c>
      <c r="O63" s="143"/>
    </row>
    <row r="64" spans="2:19" x14ac:dyDescent="0.2">
      <c r="B64" t="s">
        <v>52</v>
      </c>
      <c r="E64" t="s">
        <v>52</v>
      </c>
      <c r="H64" t="s">
        <v>52</v>
      </c>
      <c r="K64" t="s">
        <v>52</v>
      </c>
      <c r="N64" t="s">
        <v>52</v>
      </c>
    </row>
    <row r="65" spans="2:15" x14ac:dyDescent="0.2">
      <c r="B65" s="26" t="s">
        <v>53</v>
      </c>
      <c r="C65" s="27" t="s">
        <v>54</v>
      </c>
      <c r="E65" s="26" t="s">
        <v>55</v>
      </c>
      <c r="F65" s="27" t="s">
        <v>54</v>
      </c>
      <c r="H65" s="26" t="s">
        <v>55</v>
      </c>
      <c r="I65" s="27" t="s">
        <v>54</v>
      </c>
      <c r="K65" s="26" t="s">
        <v>55</v>
      </c>
      <c r="L65" s="27" t="s">
        <v>54</v>
      </c>
      <c r="N65" s="26" t="s">
        <v>55</v>
      </c>
      <c r="O65" s="27" t="s">
        <v>54</v>
      </c>
    </row>
    <row r="66" spans="2:15" x14ac:dyDescent="0.2">
      <c r="B66" s="26" t="s">
        <v>56</v>
      </c>
      <c r="C66" s="27" t="s">
        <v>54</v>
      </c>
      <c r="E66" s="26" t="s">
        <v>56</v>
      </c>
      <c r="F66" s="27" t="s">
        <v>54</v>
      </c>
      <c r="H66" s="26" t="s">
        <v>53</v>
      </c>
      <c r="I66" s="27" t="s">
        <v>54</v>
      </c>
      <c r="K66" s="26" t="s">
        <v>53</v>
      </c>
      <c r="L66" s="27" t="s">
        <v>54</v>
      </c>
      <c r="N66" s="26" t="s">
        <v>53</v>
      </c>
      <c r="O66" s="27" t="s">
        <v>54</v>
      </c>
    </row>
    <row r="68" spans="2:15" x14ac:dyDescent="0.2">
      <c r="B68" s="28" t="s">
        <v>55</v>
      </c>
      <c r="C68" s="29" t="s">
        <v>57</v>
      </c>
      <c r="E68" s="28" t="s">
        <v>53</v>
      </c>
      <c r="F68" s="29" t="s">
        <v>57</v>
      </c>
      <c r="H68" s="28" t="s">
        <v>56</v>
      </c>
      <c r="I68" s="29" t="s">
        <v>58</v>
      </c>
      <c r="K68" s="28" t="s">
        <v>59</v>
      </c>
      <c r="L68" s="29" t="s">
        <v>57</v>
      </c>
      <c r="N68" s="28" t="s">
        <v>60</v>
      </c>
      <c r="O68" s="29" t="s">
        <v>57</v>
      </c>
    </row>
    <row r="69" spans="2:15" x14ac:dyDescent="0.2">
      <c r="B69" s="30" t="s">
        <v>61</v>
      </c>
      <c r="C69" s="31">
        <v>41288.339999999997</v>
      </c>
      <c r="E69" s="30" t="s">
        <v>62</v>
      </c>
      <c r="F69" s="31">
        <v>8338.74</v>
      </c>
      <c r="H69" s="30" t="s">
        <v>63</v>
      </c>
      <c r="I69" s="32">
        <v>76</v>
      </c>
      <c r="K69" s="30" t="s">
        <v>64</v>
      </c>
      <c r="L69" s="31">
        <v>20919.330000000002</v>
      </c>
      <c r="N69" s="30" t="s">
        <v>65</v>
      </c>
      <c r="O69" s="31">
        <v>5219.13</v>
      </c>
    </row>
    <row r="70" spans="2:15" x14ac:dyDescent="0.2">
      <c r="B70" s="33" t="s">
        <v>66</v>
      </c>
      <c r="C70" s="34">
        <v>59288.39</v>
      </c>
      <c r="E70" s="33" t="s">
        <v>67</v>
      </c>
      <c r="F70" s="34">
        <v>171756.05</v>
      </c>
      <c r="H70" s="33" t="s">
        <v>68</v>
      </c>
      <c r="I70" s="35">
        <v>68</v>
      </c>
      <c r="K70" s="33" t="s">
        <v>69</v>
      </c>
      <c r="L70" s="34">
        <v>17039.349999999999</v>
      </c>
      <c r="N70" s="33" t="s">
        <v>70</v>
      </c>
      <c r="O70" s="34">
        <v>15298.98</v>
      </c>
    </row>
    <row r="71" spans="2:15" x14ac:dyDescent="0.2">
      <c r="B71" s="33" t="s">
        <v>71</v>
      </c>
      <c r="C71" s="34">
        <v>50808.31</v>
      </c>
      <c r="E71" s="33" t="s">
        <v>72</v>
      </c>
      <c r="F71" s="36">
        <v>49097.68</v>
      </c>
      <c r="H71" s="33" t="s">
        <v>73</v>
      </c>
      <c r="I71" s="35">
        <v>54</v>
      </c>
      <c r="K71" s="33" t="s">
        <v>74</v>
      </c>
      <c r="L71" s="34">
        <v>19299.45</v>
      </c>
      <c r="N71" s="33" t="s">
        <v>75</v>
      </c>
      <c r="O71" s="34">
        <v>3119.61</v>
      </c>
    </row>
    <row r="72" spans="2:15" x14ac:dyDescent="0.2">
      <c r="B72" s="33" t="s">
        <v>76</v>
      </c>
      <c r="C72" s="34">
        <v>36398.75</v>
      </c>
      <c r="E72" s="37" t="s">
        <v>77</v>
      </c>
      <c r="F72" s="38">
        <v>229192.47</v>
      </c>
      <c r="H72" s="33" t="s">
        <v>78</v>
      </c>
      <c r="I72" s="39">
        <v>52</v>
      </c>
      <c r="K72" s="33" t="s">
        <v>79</v>
      </c>
      <c r="L72" s="34">
        <v>18479.400000000001</v>
      </c>
      <c r="N72" s="33" t="s">
        <v>80</v>
      </c>
      <c r="O72" s="34">
        <v>23399.22</v>
      </c>
    </row>
    <row r="73" spans="2:15" x14ac:dyDescent="0.2">
      <c r="B73" s="33" t="s">
        <v>81</v>
      </c>
      <c r="C73" s="36">
        <v>41408.68</v>
      </c>
      <c r="H73" s="37" t="s">
        <v>77</v>
      </c>
      <c r="I73" s="40">
        <v>250</v>
      </c>
      <c r="K73" s="33" t="s">
        <v>82</v>
      </c>
      <c r="L73" s="34">
        <v>15759.43</v>
      </c>
      <c r="N73" s="33" t="s">
        <v>83</v>
      </c>
      <c r="O73" s="34">
        <v>7049.53</v>
      </c>
    </row>
    <row r="74" spans="2:15" x14ac:dyDescent="0.2">
      <c r="B74" s="37" t="s">
        <v>77</v>
      </c>
      <c r="C74" s="38">
        <v>229192.47</v>
      </c>
      <c r="K74" s="33" t="s">
        <v>84</v>
      </c>
      <c r="L74" s="34">
        <v>12989.51</v>
      </c>
      <c r="N74" s="33" t="s">
        <v>85</v>
      </c>
      <c r="O74" s="34">
        <v>8009.11</v>
      </c>
    </row>
    <row r="75" spans="2:15" x14ac:dyDescent="0.2">
      <c r="K75" s="33" t="s">
        <v>86</v>
      </c>
      <c r="L75" s="34">
        <v>20609.52</v>
      </c>
      <c r="N75" s="33" t="s">
        <v>87</v>
      </c>
      <c r="O75" s="34">
        <v>67499.25</v>
      </c>
    </row>
    <row r="76" spans="2:15" x14ac:dyDescent="0.2">
      <c r="K76" s="33" t="s">
        <v>88</v>
      </c>
      <c r="L76" s="34">
        <v>12309.44</v>
      </c>
      <c r="N76" s="33" t="s">
        <v>89</v>
      </c>
      <c r="O76" s="34">
        <v>21999.119999999999</v>
      </c>
    </row>
    <row r="77" spans="2:15" x14ac:dyDescent="0.2">
      <c r="K77" s="33" t="s">
        <v>90</v>
      </c>
      <c r="L77" s="34">
        <v>23039.3</v>
      </c>
      <c r="N77" s="33" t="s">
        <v>91</v>
      </c>
      <c r="O77" s="34">
        <v>10399.48</v>
      </c>
    </row>
    <row r="78" spans="2:15" x14ac:dyDescent="0.2">
      <c r="K78" s="33" t="s">
        <v>92</v>
      </c>
      <c r="L78" s="34">
        <v>25799.15</v>
      </c>
      <c r="N78" s="33" t="s">
        <v>93</v>
      </c>
      <c r="O78" s="36">
        <v>67199.039999999994</v>
      </c>
    </row>
    <row r="79" spans="2:15" x14ac:dyDescent="0.2">
      <c r="K79" s="33" t="s">
        <v>94</v>
      </c>
      <c r="L79" s="34">
        <v>16069.38</v>
      </c>
      <c r="N79" s="37" t="s">
        <v>77</v>
      </c>
      <c r="O79" s="38">
        <v>229192.47</v>
      </c>
    </row>
    <row r="80" spans="2:15" x14ac:dyDescent="0.2">
      <c r="K80" s="33" t="s">
        <v>95</v>
      </c>
      <c r="L80" s="34">
        <v>19899.38</v>
      </c>
    </row>
    <row r="81" spans="2:19" x14ac:dyDescent="0.2">
      <c r="K81" s="33" t="s">
        <v>96</v>
      </c>
      <c r="L81" s="36">
        <v>6979.83</v>
      </c>
    </row>
    <row r="82" spans="2:19" x14ac:dyDescent="0.2">
      <c r="K82" s="37" t="s">
        <v>77</v>
      </c>
      <c r="L82" s="38">
        <v>229192.47</v>
      </c>
    </row>
    <row r="83" spans="2:19" x14ac:dyDescent="0.2">
      <c r="B83" s="122" t="s">
        <v>97</v>
      </c>
      <c r="C83" s="122"/>
      <c r="D83" s="122"/>
      <c r="E83" s="122"/>
      <c r="F83" s="122"/>
      <c r="G83" s="122"/>
      <c r="H83" s="122" t="s">
        <v>98</v>
      </c>
      <c r="I83" s="122"/>
      <c r="J83" s="122"/>
      <c r="K83" s="122"/>
      <c r="L83" s="122"/>
      <c r="M83" s="122"/>
      <c r="N83" s="122" t="s">
        <v>99</v>
      </c>
      <c r="O83" s="122"/>
      <c r="P83" s="122"/>
      <c r="Q83" s="122"/>
      <c r="R83" s="122"/>
      <c r="S83" s="122"/>
    </row>
    <row r="100" spans="2:2" x14ac:dyDescent="0.2">
      <c r="B100" s="16" t="s">
        <v>100</v>
      </c>
    </row>
  </sheetData>
  <mergeCells count="131">
    <mergeCell ref="B62:S62"/>
    <mergeCell ref="B63:C63"/>
    <mergeCell ref="E63:F63"/>
    <mergeCell ref="H63:I63"/>
    <mergeCell ref="K63:L63"/>
    <mergeCell ref="N63:O63"/>
    <mergeCell ref="B83:G83"/>
    <mergeCell ref="H83:M83"/>
    <mergeCell ref="N83:S83"/>
    <mergeCell ref="B60:C60"/>
    <mergeCell ref="D60:E60"/>
    <mergeCell ref="F60:G60"/>
    <mergeCell ref="H60:J60"/>
    <mergeCell ref="L60:N60"/>
    <mergeCell ref="O60:P60"/>
    <mergeCell ref="Q60:S60"/>
    <mergeCell ref="B61:C61"/>
    <mergeCell ref="D61:E61"/>
    <mergeCell ref="F61:G61"/>
    <mergeCell ref="H61:J61"/>
    <mergeCell ref="L57:N57"/>
    <mergeCell ref="O57:P57"/>
    <mergeCell ref="Q57:S57"/>
    <mergeCell ref="L58:N58"/>
    <mergeCell ref="O58:P58"/>
    <mergeCell ref="Q58:S58"/>
    <mergeCell ref="B59:C59"/>
    <mergeCell ref="D59:E59"/>
    <mergeCell ref="F59:G59"/>
    <mergeCell ref="H59:J59"/>
    <mergeCell ref="L59:N59"/>
    <mergeCell ref="O59:P59"/>
    <mergeCell ref="Q59:S59"/>
    <mergeCell ref="B55:C55"/>
    <mergeCell ref="D55:E55"/>
    <mergeCell ref="F55:G55"/>
    <mergeCell ref="I55:J55"/>
    <mergeCell ref="L55:N55"/>
    <mergeCell ref="O55:P55"/>
    <mergeCell ref="Q55:S55"/>
    <mergeCell ref="L56:N56"/>
    <mergeCell ref="O56:P56"/>
    <mergeCell ref="Q56:S56"/>
    <mergeCell ref="B53:C53"/>
    <mergeCell ref="D53:E53"/>
    <mergeCell ref="F53:G53"/>
    <mergeCell ref="I53:J53"/>
    <mergeCell ref="L53:N53"/>
    <mergeCell ref="O53:P53"/>
    <mergeCell ref="Q53:S53"/>
    <mergeCell ref="B54:C54"/>
    <mergeCell ref="D54:E54"/>
    <mergeCell ref="F54:G54"/>
    <mergeCell ref="I54:J54"/>
    <mergeCell ref="L54:N54"/>
    <mergeCell ref="O54:P54"/>
    <mergeCell ref="Q54:S54"/>
    <mergeCell ref="B51:C51"/>
    <mergeCell ref="D51:E51"/>
    <mergeCell ref="F51:G51"/>
    <mergeCell ref="I51:J51"/>
    <mergeCell ref="L51:N51"/>
    <mergeCell ref="O51:P51"/>
    <mergeCell ref="Q51:S51"/>
    <mergeCell ref="B52:C52"/>
    <mergeCell ref="D52:E52"/>
    <mergeCell ref="F52:G52"/>
    <mergeCell ref="I52:J52"/>
    <mergeCell ref="L52:N52"/>
    <mergeCell ref="O52:P52"/>
    <mergeCell ref="Q52:S52"/>
    <mergeCell ref="B16:S16"/>
    <mergeCell ref="B17:J17"/>
    <mergeCell ref="K17:S17"/>
    <mergeCell ref="B33:G33"/>
    <mergeCell ref="H33:M33"/>
    <mergeCell ref="N33:S33"/>
    <mergeCell ref="B49:S49"/>
    <mergeCell ref="B50:C50"/>
    <mergeCell ref="D50:E50"/>
    <mergeCell ref="F50:G50"/>
    <mergeCell ref="I50:J50"/>
    <mergeCell ref="L50:N50"/>
    <mergeCell ref="O50:P50"/>
    <mergeCell ref="Q50:S50"/>
    <mergeCell ref="B13:D13"/>
    <mergeCell ref="E13:G13"/>
    <mergeCell ref="H13:J13"/>
    <mergeCell ref="K13:M13"/>
    <mergeCell ref="N13:P13"/>
    <mergeCell ref="Q13:S13"/>
    <mergeCell ref="B14:D14"/>
    <mergeCell ref="E14:G14"/>
    <mergeCell ref="H14:J14"/>
    <mergeCell ref="K14:M14"/>
    <mergeCell ref="N14:P14"/>
    <mergeCell ref="Q14:S14"/>
    <mergeCell ref="B9:S9"/>
    <mergeCell ref="B10:D10"/>
    <mergeCell ref="E10:G10"/>
    <mergeCell ref="H10:J10"/>
    <mergeCell ref="K10:M10"/>
    <mergeCell ref="N10:P10"/>
    <mergeCell ref="Q10:S10"/>
    <mergeCell ref="B11:D11"/>
    <mergeCell ref="E11:G11"/>
    <mergeCell ref="H11:J11"/>
    <mergeCell ref="K11:M11"/>
    <mergeCell ref="N11:P11"/>
    <mergeCell ref="Q11:S11"/>
    <mergeCell ref="B6:D6"/>
    <mergeCell ref="E6:G6"/>
    <mergeCell ref="H6:J6"/>
    <mergeCell ref="K6:M6"/>
    <mergeCell ref="N6:P6"/>
    <mergeCell ref="Q6:S6"/>
    <mergeCell ref="B7:D7"/>
    <mergeCell ref="E7:G7"/>
    <mergeCell ref="H7:J7"/>
    <mergeCell ref="K7:M7"/>
    <mergeCell ref="N7:P7"/>
    <mergeCell ref="Q7:S7"/>
    <mergeCell ref="B1:S1"/>
    <mergeCell ref="B2:S2"/>
    <mergeCell ref="B4:S4"/>
    <mergeCell ref="B5:D5"/>
    <mergeCell ref="E5:G5"/>
    <mergeCell ref="H5:J5"/>
    <mergeCell ref="K5:M5"/>
    <mergeCell ref="N5:P5"/>
    <mergeCell ref="Q5:S5"/>
  </mergeCells>
  <conditionalFormatting sqref="B7">
    <cfRule type="expression" dxfId="11" priority="2">
      <formula>$H$51&gt;=0</formula>
    </cfRule>
    <cfRule type="expression" dxfId="10" priority="3">
      <formula>$H$51&lt;0</formula>
    </cfRule>
  </conditionalFormatting>
  <conditionalFormatting sqref="E7">
    <cfRule type="expression" dxfId="9" priority="4">
      <formula>$H$52&gt;=0</formula>
    </cfRule>
    <cfRule type="expression" dxfId="8" priority="5">
      <formula>$H$52&lt;0</formula>
    </cfRule>
  </conditionalFormatting>
  <conditionalFormatting sqref="H51:H55">
    <cfRule type="iconSet" priority="10">
      <iconSet iconSet="3Arrows">
        <cfvo type="num" val="-100"/>
        <cfvo type="num" val="-0.1"/>
        <cfvo type="num" val="0"/>
      </iconSet>
    </cfRule>
  </conditionalFormatting>
  <conditionalFormatting sqref="I51:J55">
    <cfRule type="expression" dxfId="7" priority="11">
      <formula>$I51="On target"</formula>
    </cfRule>
    <cfRule type="expression" dxfId="6" priority="12">
      <formula>$I51="Watch"</formula>
    </cfRule>
    <cfRule type="expression" dxfId="5" priority="13">
      <formula>$I51="Behind"</formula>
    </cfRule>
  </conditionalFormatting>
  <conditionalFormatting sqref="K7">
    <cfRule type="expression" dxfId="4" priority="6">
      <formula>$H$53&gt;=0</formula>
    </cfRule>
    <cfRule type="expression" dxfId="3" priority="7">
      <formula>$H$53&lt;0</formula>
    </cfRule>
  </conditionalFormatting>
  <conditionalFormatting sqref="Q7">
    <cfRule type="expression" dxfId="2" priority="8">
      <formula>$H$54&gt;=0</formula>
    </cfRule>
    <cfRule type="expression" dxfId="1" priority="9">
      <formula>$H$54&lt;0</formula>
    </cfRule>
  </conditionalFormatting>
  <conditionalFormatting sqref="Q51:Q60">
    <cfRule type="dataBar" priority="14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{DA7D6590-FAC0-4072-8AC0-2ED410BAA29D}</x14:id>
        </ext>
      </extLst>
    </cfRule>
  </conditionalFormatting>
  <pageMargins left="0.75" right="0.75" top="1" bottom="1" header="0.511811023622047" footer="0.511811023622047"/>
  <pageSetup fitToHeight="0" orientation="landscape" horizontalDpi="300" verticalDpi="300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D6590-FAC0-4072-8AC0-2ED410BAA29D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Q51:Q60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Calc!$A$3:$A$8</xm:f>
          </x14:formula1>
          <x14:formula2>
            <xm:f>0</xm:f>
          </x14:formula2>
          <xm:sqref>B11</xm:sqref>
        </x14:dataValidation>
        <x14:dataValidation type="list" xr:uid="{00000000-0002-0000-0100-000001000000}">
          <x14:formula1>
            <xm:f>Calc!$B$3:$B$6</xm:f>
          </x14:formula1>
          <x14:formula2>
            <xm:f>0</xm:f>
          </x14:formula2>
          <xm:sqref>E11</xm:sqref>
        </x14:dataValidation>
        <x14:dataValidation type="list" xr:uid="{00000000-0002-0000-0100-000002000000}">
          <x14:formula1>
            <xm:f>Calc!$C$3:$C$7</xm:f>
          </x14:formula1>
          <x14:formula2>
            <xm:f>0</xm:f>
          </x14:formula2>
          <xm:sqref>H11</xm:sqref>
        </x14:dataValidation>
        <x14:dataValidation type="list" xr:uid="{00000000-0002-0000-0100-000003000000}">
          <x14:formula1>
            <xm:f>Calc!$D$3:$D$6</xm:f>
          </x14:formula1>
          <x14:formula2>
            <xm:f>0</xm:f>
          </x14:formula2>
          <xm:sqref>K11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B1:B35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120" customWidth="1"/>
  </cols>
  <sheetData>
    <row r="1" spans="2:2" ht="20" x14ac:dyDescent="0.2">
      <c r="B1" s="15" t="s">
        <v>101</v>
      </c>
    </row>
    <row r="2" spans="2:2" x14ac:dyDescent="0.2">
      <c r="B2" s="16" t="s">
        <v>102</v>
      </c>
    </row>
    <row r="4" spans="2:2" x14ac:dyDescent="0.2">
      <c r="B4" s="41" t="s">
        <v>103</v>
      </c>
    </row>
    <row r="5" spans="2:2" ht="43.5" customHeight="1" x14ac:dyDescent="0.2">
      <c r="B5" s="18" t="str">
        <f>"Total revenue is "&amp;TEXT(Analysis!$B$24,"$#,##0")&amp;" from "&amp;Analysis!$B$25&amp;" orders and "&amp;Analysis!$B$26&amp;" units across "&amp;Analysis!$B$28&amp;" customers, an average order value of "&amp;TEXT(Analysis!$B$27,"$#,##0.00")&amp;"."</f>
        <v>Total revenue is $2,29,192 from 250 orders and 753 units across 50 customers, an average order value of $916.77.</v>
      </c>
    </row>
    <row r="7" spans="2:2" x14ac:dyDescent="0.2">
      <c r="B7" s="41" t="s">
        <v>104</v>
      </c>
    </row>
    <row r="8" spans="2:2" ht="43.5" customHeight="1" x14ac:dyDescent="0.2">
      <c r="B8" s="18" t="str">
        <f>"The top customer is "&amp;Analysis!$B$51&amp;". The top 5 customers generate "&amp;TEXT(Analysis!$B$31,"0.0%")&amp;" of revenue, and "&amp;TEXT(Analysis!$B$30,"0%")&amp;" of customers have bought more than once, so the base is loyal and revenue is not overly concentrated."</f>
        <v>The top customer is Mark Carter. The top 5 customers generate 24.6% of revenue, and 94% of customers have bought more than once, so the base is loyal and revenue is not overly concentrated.</v>
      </c>
    </row>
    <row r="10" spans="2:2" x14ac:dyDescent="0.2">
      <c r="B10" s="41" t="s">
        <v>105</v>
      </c>
    </row>
    <row r="11" spans="2:2" ht="43.5" customHeight="1" x14ac:dyDescent="0.2">
      <c r="B11" s="18" t="str">
        <f>"The most frequently purchased product is "&amp;Analysis!$B$47&amp;", but the highest-revenue product is "&amp;Analysis!$B$49&amp;" ("&amp;TEXT(MAX(Analysis!E35:E44),"$#,##0")&amp;"). Volume leaders and revenue leaders are different, so price point matters."</f>
        <v>The most frequently purchased product is Bookshelf, but the highest-revenue product is Laptop ($67,499). Volume leaders and revenue leaders are different, so price point matters.</v>
      </c>
    </row>
    <row r="13" spans="2:2" x14ac:dyDescent="0.2">
      <c r="B13" s="41" t="s">
        <v>106</v>
      </c>
    </row>
    <row r="14" spans="2:2" ht="43.5" customHeight="1" x14ac:dyDescent="0.2">
      <c r="B14" s="18" t="str">
        <f>"The strongest region is "&amp;Analysis!$B$62&amp;" ("&amp;TEXT(MAX(Analysis!C56:C60),"$#,##0")&amp;") and the weakest is "&amp;Analysis!$B$63&amp;" ("&amp;TEXT(MIN(Analysis!C56:C60),"$#,##0")&amp;"), a gap of "&amp;TEXT(MAX(Analysis!C56:C60)/MIN(Analysis!C56:C60)-1,"0%")&amp;"."</f>
        <v>The strongest region is East ($59,288) and the weakest is South ($36,399), a gap of 63%.</v>
      </c>
    </row>
    <row r="16" spans="2:2" x14ac:dyDescent="0.2">
      <c r="B16" s="41" t="s">
        <v>107</v>
      </c>
    </row>
    <row r="17" spans="2:2" ht="43.5" customHeight="1" x14ac:dyDescent="0.2">
      <c r="B17" s="18" t="str">
        <f>"Best full month: "&amp;INDEX(Analysis!B90:B101,MATCH(MAX(Analysis!E90:E101),Analysis!E90:E101,0))&amp;" ("&amp;TEXT(MAX(Analysis!E90:E101),"$#,##0")&amp;"); weakest: "&amp;INDEX(Analysis!B90:B101,MATCH(MIN(Analysis!E90:E101),Analysis!E90:E101,0))&amp;" ("&amp;TEXT(MIN(Analysis!E90:E101),"$#,##0")&amp;")."</f>
        <v>Best full month: Jan-25 ($25,799); weakest: Nov-24 ($12,309).</v>
      </c>
    </row>
    <row r="19" spans="2:2" x14ac:dyDescent="0.2">
      <c r="B19" s="41" t="s">
        <v>108</v>
      </c>
    </row>
    <row r="20" spans="2:2" ht="43.5" customHeight="1" x14ac:dyDescent="0.2">
      <c r="B20" s="18" t="str">
        <f>"Linear regression shows revenue changing by "&amp;TEXT(Analysis!$B$107,"$#,##0")&amp;" per month (R-squared "&amp;TEXT(Analysis!$B$109,"0.00")&amp;", p-value "&amp;TEXT(Analysis!$B$113,"0.000")&amp;"). "&amp;Analysis!$B$115&amp;". Forecast for the next month: "&amp;TEXT(Analysis!$B$114,"$#,##0")&amp;"."</f>
        <v>Linear regression shows revenue changing by $160 per month (R-squared 0.02, p-value 0.651). Trend is NOT statistically significant (p &gt;= 0.05). Forecast for the next month: $19,554.</v>
      </c>
    </row>
    <row r="22" spans="2:2" x14ac:dyDescent="0.2">
      <c r="B22" s="41" t="s">
        <v>109</v>
      </c>
    </row>
    <row r="23" spans="2:2" ht="43.5" customHeight="1" x14ac:dyDescent="0.2">
      <c r="B23" s="18" t="str">
        <f>"The most used payment method is "&amp;Analysis!$B$79&amp;"."</f>
        <v>The most used payment method is Cash.</v>
      </c>
    </row>
    <row r="25" spans="2:2" x14ac:dyDescent="0.2">
      <c r="B25" s="41" t="s">
        <v>110</v>
      </c>
    </row>
    <row r="26" spans="2:2" ht="43.5" customHeight="1" x14ac:dyDescent="0.2">
      <c r="B26" s="18" t="str">
        <f>"Of the top 15 spenders, "&amp;Customers!$S$55&amp;" also bought a Laptop. The rest are cross-sell targets for the highest-ticket product."</f>
        <v>Of the top 15 spenders, 12 also bought a Laptop. The rest are cross-sell targets for the highest-ticket product.</v>
      </c>
    </row>
    <row r="28" spans="2:2" x14ac:dyDescent="0.2">
      <c r="B28" s="41" t="s">
        <v>111</v>
      </c>
    </row>
    <row r="29" spans="2:2" ht="43.5" customHeight="1" x14ac:dyDescent="0.2">
      <c r="B29" s="18" t="str">
        <f>"Optimistic scenario (+5% price, +10% volume) projects "&amp;TEXT(Analysis!$D$124,"$#,##0")&amp;"; pessimistic (-3% price, -8% volume, 5% discount) projects "&amp;TEXT(Analysis!$E$124,"$#,##0")&amp;". Goal Seek: with the current volume and discount inputs, a price change of "&amp;TEXT(Analysis!$B$129,"0.0%")&amp;" is needed to reach the "&amp;TEXT(Analysis!B127,"0%")&amp;" revenue uplift target."</f>
        <v>Optimistic scenario (+5% price, +10% volume) projects $2,64,717; pessimistic (-3% price, -8% volume, 5% discount) projects $1,94,305. Goal Seek: with the current volume and discount inputs, a price change of 20.0% is needed to reach the 20% revenue uplift target.</v>
      </c>
    </row>
    <row r="31" spans="2:2" x14ac:dyDescent="0.2">
      <c r="B31" s="41" t="s">
        <v>112</v>
      </c>
    </row>
    <row r="32" spans="2:2" ht="43.5" customHeight="1" x14ac:dyDescent="0.2">
      <c r="B32" s="18" t="s">
        <v>113</v>
      </c>
    </row>
    <row r="34" spans="2:2" x14ac:dyDescent="0.2">
      <c r="B34" s="41" t="s">
        <v>114</v>
      </c>
    </row>
    <row r="35" spans="2:2" ht="43.5" customHeight="1" x14ac:dyDescent="0.2">
      <c r="B35" s="18" t="str">
        <f>"(1) Run a laptop/smartphone upsell campaign for high-value customers. (2) Grow "&amp;Analysis!$B$63&amp;" with targeted promotions. (3) Keep "&amp;Analysis!$B$47&amp;" well stocked as the volume driver. (4) Review the revenue trend monthly using the dashboard."</f>
        <v>(1) Run a laptop/smartphone upsell campaign for high-value customers. (2) Grow South with targeted promotions. (3) Keep Bookshelf well stocked as the volume driver. (4) Review the revenue trend monthly using the dashboard.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BFBF"/>
  </sheetPr>
  <dimension ref="A1:Z25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3" width="12" customWidth="1"/>
    <col min="4" max="4" width="18" customWidth="1"/>
    <col min="5" max="5" width="11" customWidth="1"/>
    <col min="6" max="6" width="15" customWidth="1"/>
    <col min="7" max="7" width="13" customWidth="1"/>
    <col min="8" max="8" width="9" customWidth="1"/>
    <col min="9" max="9" width="10" customWidth="1"/>
    <col min="10" max="10" width="15" customWidth="1"/>
    <col min="11" max="11" width="10" customWidth="1"/>
    <col min="12" max="12" width="16" customWidth="1"/>
    <col min="13" max="14" width="13" customWidth="1"/>
    <col min="15" max="15" width="8" customWidth="1"/>
    <col min="16" max="18" width="12" customWidth="1"/>
    <col min="19" max="19" width="13" customWidth="1"/>
    <col min="20" max="20" width="15" customWidth="1"/>
    <col min="21" max="21" width="9" customWidth="1"/>
    <col min="22" max="22" width="12" customWidth="1"/>
    <col min="23" max="23" width="14" customWidth="1"/>
    <col min="24" max="24" width="12" customWidth="1"/>
    <col min="25" max="26" width="11" customWidth="1"/>
  </cols>
  <sheetData>
    <row r="1" spans="1:26" ht="29" x14ac:dyDescent="0.2">
      <c r="A1" s="42" t="s">
        <v>115</v>
      </c>
      <c r="B1" s="42" t="s">
        <v>116</v>
      </c>
      <c r="C1" s="42" t="s">
        <v>117</v>
      </c>
      <c r="D1" s="42" t="s">
        <v>118</v>
      </c>
      <c r="E1" s="42" t="s">
        <v>119</v>
      </c>
      <c r="F1" s="42" t="s">
        <v>60</v>
      </c>
      <c r="G1" s="42" t="s">
        <v>53</v>
      </c>
      <c r="H1" s="42" t="s">
        <v>120</v>
      </c>
      <c r="I1" s="42" t="s">
        <v>121</v>
      </c>
      <c r="J1" s="42" t="s">
        <v>56</v>
      </c>
      <c r="K1" s="42" t="s">
        <v>55</v>
      </c>
      <c r="L1" s="42" t="s">
        <v>122</v>
      </c>
      <c r="M1" s="42" t="s">
        <v>123</v>
      </c>
      <c r="N1" s="42" t="s">
        <v>124</v>
      </c>
      <c r="O1" s="42" t="s">
        <v>125</v>
      </c>
      <c r="P1" s="42" t="s">
        <v>126</v>
      </c>
      <c r="Q1" s="42" t="s">
        <v>127</v>
      </c>
      <c r="R1" s="42" t="s">
        <v>128</v>
      </c>
      <c r="S1" s="42" t="s">
        <v>129</v>
      </c>
      <c r="T1" s="42" t="s">
        <v>130</v>
      </c>
      <c r="U1" s="42" t="s">
        <v>131</v>
      </c>
      <c r="V1" s="42" t="s">
        <v>132</v>
      </c>
      <c r="W1" s="42" t="s">
        <v>133</v>
      </c>
      <c r="X1" s="42" t="s">
        <v>134</v>
      </c>
      <c r="Y1" s="42" t="s">
        <v>135</v>
      </c>
      <c r="Z1" s="42" t="s">
        <v>59</v>
      </c>
    </row>
    <row r="2" spans="1:26" x14ac:dyDescent="0.2">
      <c r="A2" s="43" t="s">
        <v>136</v>
      </c>
      <c r="B2" s="44">
        <v>45393</v>
      </c>
      <c r="C2" s="43" t="s">
        <v>137</v>
      </c>
      <c r="D2" s="43" t="s">
        <v>138</v>
      </c>
      <c r="E2" s="43" t="s">
        <v>139</v>
      </c>
      <c r="F2" s="43" t="s">
        <v>89</v>
      </c>
      <c r="G2" s="43" t="s">
        <v>67</v>
      </c>
      <c r="H2" s="43">
        <v>3</v>
      </c>
      <c r="I2" s="45">
        <v>249.99</v>
      </c>
      <c r="J2" s="43" t="s">
        <v>63</v>
      </c>
      <c r="K2" s="43" t="s">
        <v>61</v>
      </c>
      <c r="L2" s="43" t="s">
        <v>140</v>
      </c>
      <c r="M2" s="44">
        <v>44425</v>
      </c>
      <c r="N2" s="45">
        <v>749.97</v>
      </c>
      <c r="O2" s="43" t="str">
        <f t="shared" ref="O2:O65" si="0">IF(ROUND(H2*I2-N2,2)=0,"OK","Error")</f>
        <v>OK</v>
      </c>
      <c r="P2" s="44">
        <f t="shared" ref="P2:P65" si="1">EOMONTH(B2,0)</f>
        <v>45412</v>
      </c>
      <c r="Q2" s="43" t="str">
        <f t="shared" ref="Q2:Q65" si="2">TEXT(B2,"mmm-yy")</f>
        <v>Apr-24</v>
      </c>
      <c r="R2" s="43">
        <f t="shared" ref="R2:R65" si="3">DATEDIF(M2,B2,"Y")</f>
        <v>2</v>
      </c>
      <c r="S2" s="43">
        <f t="shared" ref="S2:S65" si="4">DATEDIF(M2,B2,"M")</f>
        <v>31</v>
      </c>
      <c r="T2" s="43">
        <f t="shared" ref="T2:T65" ca="1" si="5">TODAY()-B2</f>
        <v>925</v>
      </c>
      <c r="U2" s="43" t="str">
        <f t="shared" ref="U2:U65" si="6">LEFT(D2,1)&amp;MID(D2,FIND(" ",D2)+1,1)</f>
        <v>PB</v>
      </c>
      <c r="V2" s="43" t="str">
        <f t="shared" ref="V2:V65" si="7">UPPER(LEFT(F2,3))</f>
        <v>MON</v>
      </c>
      <c r="W2" s="43" t="str">
        <f t="shared" ref="W2:W65" si="8">UPPER(LEFT(K2,1))&amp;"-"&amp;TEXT(B2,"yymm")&amp;"-"&amp;RIGHT(A2,3)</f>
        <v>C-2404-155</v>
      </c>
      <c r="X2" s="43" t="str">
        <f>IF(COUNTIF($D$2:D2,D2)&gt;1,"Repeat","First")</f>
        <v>First</v>
      </c>
      <c r="Y2" s="43" t="str">
        <f>IF(AND(K2=Filter!$B$4,N2&gt;=Filter!$B$5),MAX(Y$1:Y1)+1,"")</f>
        <v/>
      </c>
      <c r="Z2" s="43" t="str">
        <f t="shared" ref="Z2:Z65" si="9">TEXT(B2,"yyyy-mm")</f>
        <v>2024-04</v>
      </c>
    </row>
    <row r="3" spans="1:26" x14ac:dyDescent="0.2">
      <c r="A3" s="43" t="s">
        <v>141</v>
      </c>
      <c r="B3" s="44">
        <v>45396</v>
      </c>
      <c r="C3" s="43" t="s">
        <v>142</v>
      </c>
      <c r="D3" s="43" t="s">
        <v>143</v>
      </c>
      <c r="E3" s="43" t="s">
        <v>139</v>
      </c>
      <c r="F3" s="43" t="s">
        <v>89</v>
      </c>
      <c r="G3" s="43" t="s">
        <v>67</v>
      </c>
      <c r="H3" s="43">
        <v>3</v>
      </c>
      <c r="I3" s="45">
        <v>249.99</v>
      </c>
      <c r="J3" s="43" t="s">
        <v>68</v>
      </c>
      <c r="K3" s="43" t="s">
        <v>61</v>
      </c>
      <c r="L3" s="43" t="s">
        <v>144</v>
      </c>
      <c r="M3" s="44">
        <v>44575</v>
      </c>
      <c r="N3" s="45">
        <v>749.97</v>
      </c>
      <c r="O3" s="43" t="str">
        <f t="shared" si="0"/>
        <v>OK</v>
      </c>
      <c r="P3" s="44">
        <f t="shared" si="1"/>
        <v>45412</v>
      </c>
      <c r="Q3" s="43" t="str">
        <f t="shared" si="2"/>
        <v>Apr-24</v>
      </c>
      <c r="R3" s="43">
        <f t="shared" si="3"/>
        <v>2</v>
      </c>
      <c r="S3" s="43">
        <f t="shared" si="4"/>
        <v>27</v>
      </c>
      <c r="T3" s="43">
        <f t="shared" ca="1" si="5"/>
        <v>922</v>
      </c>
      <c r="U3" s="43" t="str">
        <f t="shared" si="6"/>
        <v>JJ</v>
      </c>
      <c r="V3" s="43" t="str">
        <f t="shared" si="7"/>
        <v>MON</v>
      </c>
      <c r="W3" s="43" t="str">
        <f t="shared" si="8"/>
        <v>C-2404-023</v>
      </c>
      <c r="X3" s="43" t="str">
        <f>IF(COUNTIF($D$2:D3,D3)&gt;1,"Repeat","First")</f>
        <v>First</v>
      </c>
      <c r="Y3" s="43" t="str">
        <f>IF(AND(K3=Filter!$B$4,N3&gt;=Filter!$B$5),MAX(Y$1:Y2)+1,"")</f>
        <v/>
      </c>
      <c r="Z3" s="43" t="str">
        <f t="shared" si="9"/>
        <v>2024-04</v>
      </c>
    </row>
    <row r="4" spans="1:26" x14ac:dyDescent="0.2">
      <c r="A4" s="43" t="s">
        <v>145</v>
      </c>
      <c r="B4" s="44">
        <v>45399</v>
      </c>
      <c r="C4" s="43" t="s">
        <v>146</v>
      </c>
      <c r="D4" s="43" t="s">
        <v>147</v>
      </c>
      <c r="E4" s="43" t="s">
        <v>148</v>
      </c>
      <c r="F4" s="43" t="s">
        <v>65</v>
      </c>
      <c r="G4" s="43" t="s">
        <v>62</v>
      </c>
      <c r="H4" s="43">
        <v>3</v>
      </c>
      <c r="I4" s="45">
        <v>59.99</v>
      </c>
      <c r="J4" s="43" t="s">
        <v>78</v>
      </c>
      <c r="K4" s="43" t="s">
        <v>76</v>
      </c>
      <c r="L4" s="43" t="s">
        <v>149</v>
      </c>
      <c r="M4" s="44">
        <v>45262</v>
      </c>
      <c r="N4" s="45">
        <v>179.97</v>
      </c>
      <c r="O4" s="43" t="str">
        <f t="shared" si="0"/>
        <v>OK</v>
      </c>
      <c r="P4" s="44">
        <f t="shared" si="1"/>
        <v>45412</v>
      </c>
      <c r="Q4" s="43" t="str">
        <f t="shared" si="2"/>
        <v>Apr-24</v>
      </c>
      <c r="R4" s="43">
        <f t="shared" si="3"/>
        <v>0</v>
      </c>
      <c r="S4" s="43">
        <f t="shared" si="4"/>
        <v>4</v>
      </c>
      <c r="T4" s="43">
        <f t="shared" ca="1" si="5"/>
        <v>919</v>
      </c>
      <c r="U4" s="43" t="str">
        <f t="shared" si="6"/>
        <v>KS</v>
      </c>
      <c r="V4" s="43" t="str">
        <f t="shared" si="7"/>
        <v>BLE</v>
      </c>
      <c r="W4" s="43" t="str">
        <f t="shared" si="8"/>
        <v>S-2404-139</v>
      </c>
      <c r="X4" s="43" t="str">
        <f>IF(COUNTIF($D$2:D4,D4)&gt;1,"Repeat","First")</f>
        <v>First</v>
      </c>
      <c r="Y4" s="43" t="str">
        <f>IF(AND(K4=Filter!$B$4,N4&gt;=Filter!$B$5),MAX(Y$1:Y3)+1,"")</f>
        <v/>
      </c>
      <c r="Z4" s="43" t="str">
        <f t="shared" si="9"/>
        <v>2024-04</v>
      </c>
    </row>
    <row r="5" spans="1:26" x14ac:dyDescent="0.2">
      <c r="A5" s="43" t="s">
        <v>150</v>
      </c>
      <c r="B5" s="44">
        <v>45400</v>
      </c>
      <c r="C5" s="43" t="s">
        <v>151</v>
      </c>
      <c r="D5" s="43" t="s">
        <v>152</v>
      </c>
      <c r="E5" s="43" t="s">
        <v>148</v>
      </c>
      <c r="F5" s="43" t="s">
        <v>65</v>
      </c>
      <c r="G5" s="43" t="s">
        <v>62</v>
      </c>
      <c r="H5" s="43">
        <v>3</v>
      </c>
      <c r="I5" s="45">
        <v>59.99</v>
      </c>
      <c r="J5" s="43" t="s">
        <v>63</v>
      </c>
      <c r="K5" s="43" t="s">
        <v>71</v>
      </c>
      <c r="L5" s="43" t="s">
        <v>144</v>
      </c>
      <c r="M5" s="44">
        <v>45114</v>
      </c>
      <c r="N5" s="45">
        <v>179.97</v>
      </c>
      <c r="O5" s="43" t="str">
        <f t="shared" si="0"/>
        <v>OK</v>
      </c>
      <c r="P5" s="44">
        <f t="shared" si="1"/>
        <v>45412</v>
      </c>
      <c r="Q5" s="43" t="str">
        <f t="shared" si="2"/>
        <v>Apr-24</v>
      </c>
      <c r="R5" s="43">
        <f t="shared" si="3"/>
        <v>0</v>
      </c>
      <c r="S5" s="43">
        <f t="shared" si="4"/>
        <v>9</v>
      </c>
      <c r="T5" s="43">
        <f t="shared" ca="1" si="5"/>
        <v>918</v>
      </c>
      <c r="U5" s="43" t="str">
        <f t="shared" si="6"/>
        <v>KB</v>
      </c>
      <c r="V5" s="43" t="str">
        <f t="shared" si="7"/>
        <v>BLE</v>
      </c>
      <c r="W5" s="43" t="str">
        <f t="shared" si="8"/>
        <v>N-2404-043</v>
      </c>
      <c r="X5" s="43" t="str">
        <f>IF(COUNTIF($D$2:D5,D5)&gt;1,"Repeat","First")</f>
        <v>First</v>
      </c>
      <c r="Y5" s="43" t="str">
        <f>IF(AND(K5=Filter!$B$4,N5&gt;=Filter!$B$5),MAX(Y$1:Y4)+1,"")</f>
        <v/>
      </c>
      <c r="Z5" s="43" t="str">
        <f t="shared" si="9"/>
        <v>2024-04</v>
      </c>
    </row>
    <row r="6" spans="1:26" x14ac:dyDescent="0.2">
      <c r="A6" s="43" t="s">
        <v>153</v>
      </c>
      <c r="B6" s="44">
        <v>45400</v>
      </c>
      <c r="C6" s="43" t="s">
        <v>154</v>
      </c>
      <c r="D6" s="43" t="s">
        <v>155</v>
      </c>
      <c r="E6" s="43" t="s">
        <v>156</v>
      </c>
      <c r="F6" s="43" t="s">
        <v>70</v>
      </c>
      <c r="G6" s="43" t="s">
        <v>72</v>
      </c>
      <c r="H6" s="43">
        <v>5</v>
      </c>
      <c r="I6" s="45">
        <v>149.99</v>
      </c>
      <c r="J6" s="43" t="s">
        <v>68</v>
      </c>
      <c r="K6" s="43" t="s">
        <v>71</v>
      </c>
      <c r="L6" s="43" t="s">
        <v>144</v>
      </c>
      <c r="M6" s="44">
        <v>45295</v>
      </c>
      <c r="N6" s="45">
        <v>749.95</v>
      </c>
      <c r="O6" s="43" t="str">
        <f t="shared" si="0"/>
        <v>OK</v>
      </c>
      <c r="P6" s="44">
        <f t="shared" si="1"/>
        <v>45412</v>
      </c>
      <c r="Q6" s="43" t="str">
        <f t="shared" si="2"/>
        <v>Apr-24</v>
      </c>
      <c r="R6" s="43">
        <f t="shared" si="3"/>
        <v>0</v>
      </c>
      <c r="S6" s="43">
        <f t="shared" si="4"/>
        <v>3</v>
      </c>
      <c r="T6" s="43">
        <f t="shared" ca="1" si="5"/>
        <v>918</v>
      </c>
      <c r="U6" s="43" t="str">
        <f t="shared" si="6"/>
        <v>MB</v>
      </c>
      <c r="V6" s="43" t="str">
        <f t="shared" si="7"/>
        <v>BOO</v>
      </c>
      <c r="W6" s="43" t="str">
        <f t="shared" si="8"/>
        <v>N-2404-212</v>
      </c>
      <c r="X6" s="43" t="str">
        <f>IF(COUNTIF($D$2:D6,D6)&gt;1,"Repeat","First")</f>
        <v>First</v>
      </c>
      <c r="Y6" s="43" t="str">
        <f>IF(AND(K6=Filter!$B$4,N6&gt;=Filter!$B$5),MAX(Y$1:Y5)+1,"")</f>
        <v/>
      </c>
      <c r="Z6" s="43" t="str">
        <f t="shared" si="9"/>
        <v>2024-04</v>
      </c>
    </row>
    <row r="7" spans="1:26" x14ac:dyDescent="0.2">
      <c r="A7" s="43" t="s">
        <v>157</v>
      </c>
      <c r="B7" s="44">
        <v>45403</v>
      </c>
      <c r="C7" s="43" t="s">
        <v>158</v>
      </c>
      <c r="D7" s="43" t="s">
        <v>159</v>
      </c>
      <c r="E7" s="43" t="s">
        <v>148</v>
      </c>
      <c r="F7" s="43" t="s">
        <v>65</v>
      </c>
      <c r="G7" s="43" t="s">
        <v>62</v>
      </c>
      <c r="H7" s="43">
        <v>2</v>
      </c>
      <c r="I7" s="45">
        <v>59.99</v>
      </c>
      <c r="J7" s="43" t="s">
        <v>63</v>
      </c>
      <c r="K7" s="43" t="s">
        <v>81</v>
      </c>
      <c r="L7" s="43" t="s">
        <v>149</v>
      </c>
      <c r="M7" s="44">
        <v>44746</v>
      </c>
      <c r="N7" s="45">
        <v>119.98</v>
      </c>
      <c r="O7" s="43" t="str">
        <f t="shared" si="0"/>
        <v>OK</v>
      </c>
      <c r="P7" s="44">
        <f t="shared" si="1"/>
        <v>45412</v>
      </c>
      <c r="Q7" s="43" t="str">
        <f t="shared" si="2"/>
        <v>Apr-24</v>
      </c>
      <c r="R7" s="43">
        <f t="shared" si="3"/>
        <v>1</v>
      </c>
      <c r="S7" s="43">
        <f t="shared" si="4"/>
        <v>21</v>
      </c>
      <c r="T7" s="43">
        <f t="shared" ca="1" si="5"/>
        <v>915</v>
      </c>
      <c r="U7" s="43" t="str">
        <f t="shared" si="6"/>
        <v>DN</v>
      </c>
      <c r="V7" s="43" t="str">
        <f t="shared" si="7"/>
        <v>BLE</v>
      </c>
      <c r="W7" s="43" t="str">
        <f t="shared" si="8"/>
        <v>W-2404-092</v>
      </c>
      <c r="X7" s="43" t="str">
        <f>IF(COUNTIF($D$2:D7,D7)&gt;1,"Repeat","First")</f>
        <v>First</v>
      </c>
      <c r="Y7" s="43" t="str">
        <f>IF(AND(K7=Filter!$B$4,N7&gt;=Filter!$B$5),MAX(Y$1:Y6)+1,"")</f>
        <v/>
      </c>
      <c r="Z7" s="43" t="str">
        <f t="shared" si="9"/>
        <v>2024-04</v>
      </c>
    </row>
    <row r="8" spans="1:26" x14ac:dyDescent="0.2">
      <c r="A8" s="43" t="s">
        <v>160</v>
      </c>
      <c r="B8" s="44">
        <v>45403</v>
      </c>
      <c r="C8" s="43" t="s">
        <v>158</v>
      </c>
      <c r="D8" s="43" t="s">
        <v>159</v>
      </c>
      <c r="E8" s="43" t="s">
        <v>161</v>
      </c>
      <c r="F8" s="43" t="s">
        <v>83</v>
      </c>
      <c r="G8" s="43" t="s">
        <v>67</v>
      </c>
      <c r="H8" s="43">
        <v>5</v>
      </c>
      <c r="I8" s="45">
        <v>149.99</v>
      </c>
      <c r="J8" s="43" t="s">
        <v>68</v>
      </c>
      <c r="K8" s="43" t="s">
        <v>61</v>
      </c>
      <c r="L8" s="43" t="s">
        <v>149</v>
      </c>
      <c r="M8" s="44">
        <v>44418</v>
      </c>
      <c r="N8" s="45">
        <v>749.95</v>
      </c>
      <c r="O8" s="43" t="str">
        <f t="shared" si="0"/>
        <v>OK</v>
      </c>
      <c r="P8" s="44">
        <f t="shared" si="1"/>
        <v>45412</v>
      </c>
      <c r="Q8" s="43" t="str">
        <f t="shared" si="2"/>
        <v>Apr-24</v>
      </c>
      <c r="R8" s="43">
        <f t="shared" si="3"/>
        <v>2</v>
      </c>
      <c r="S8" s="43">
        <f t="shared" si="4"/>
        <v>32</v>
      </c>
      <c r="T8" s="43">
        <f t="shared" ca="1" si="5"/>
        <v>915</v>
      </c>
      <c r="U8" s="43" t="str">
        <f t="shared" si="6"/>
        <v>DN</v>
      </c>
      <c r="V8" s="43" t="str">
        <f t="shared" si="7"/>
        <v>HEA</v>
      </c>
      <c r="W8" s="43" t="str">
        <f t="shared" si="8"/>
        <v>C-2404-193</v>
      </c>
      <c r="X8" s="43" t="str">
        <f>IF(COUNTIF($D$2:D8,D8)&gt;1,"Repeat","First")</f>
        <v>Repeat</v>
      </c>
      <c r="Y8" s="43" t="str">
        <f>IF(AND(K8=Filter!$B$4,N8&gt;=Filter!$B$5),MAX(Y$1:Y7)+1,"")</f>
        <v/>
      </c>
      <c r="Z8" s="43" t="str">
        <f t="shared" si="9"/>
        <v>2024-04</v>
      </c>
    </row>
    <row r="9" spans="1:26" x14ac:dyDescent="0.2">
      <c r="A9" s="43" t="s">
        <v>162</v>
      </c>
      <c r="B9" s="44">
        <v>45403</v>
      </c>
      <c r="C9" s="43" t="s">
        <v>163</v>
      </c>
      <c r="D9" s="43" t="s">
        <v>164</v>
      </c>
      <c r="E9" s="43" t="s">
        <v>148</v>
      </c>
      <c r="F9" s="43" t="s">
        <v>65</v>
      </c>
      <c r="G9" s="43" t="s">
        <v>62</v>
      </c>
      <c r="H9" s="43">
        <v>3</v>
      </c>
      <c r="I9" s="45">
        <v>59.99</v>
      </c>
      <c r="J9" s="43" t="s">
        <v>73</v>
      </c>
      <c r="K9" s="43" t="s">
        <v>76</v>
      </c>
      <c r="L9" s="43" t="s">
        <v>140</v>
      </c>
      <c r="M9" s="44">
        <v>45007</v>
      </c>
      <c r="N9" s="45">
        <v>179.97</v>
      </c>
      <c r="O9" s="43" t="str">
        <f t="shared" si="0"/>
        <v>OK</v>
      </c>
      <c r="P9" s="44">
        <f t="shared" si="1"/>
        <v>45412</v>
      </c>
      <c r="Q9" s="43" t="str">
        <f t="shared" si="2"/>
        <v>Apr-24</v>
      </c>
      <c r="R9" s="43">
        <f t="shared" si="3"/>
        <v>1</v>
      </c>
      <c r="S9" s="43">
        <f t="shared" si="4"/>
        <v>12</v>
      </c>
      <c r="T9" s="43">
        <f t="shared" ca="1" si="5"/>
        <v>915</v>
      </c>
      <c r="U9" s="43" t="str">
        <f t="shared" si="6"/>
        <v>CA</v>
      </c>
      <c r="V9" s="43" t="str">
        <f t="shared" si="7"/>
        <v>BLE</v>
      </c>
      <c r="W9" s="43" t="str">
        <f t="shared" si="8"/>
        <v>S-2404-240</v>
      </c>
      <c r="X9" s="43" t="str">
        <f>IF(COUNTIF($D$2:D9,D9)&gt;1,"Repeat","First")</f>
        <v>First</v>
      </c>
      <c r="Y9" s="43" t="str">
        <f>IF(AND(K9=Filter!$B$4,N9&gt;=Filter!$B$5),MAX(Y$1:Y8)+1,"")</f>
        <v/>
      </c>
      <c r="Z9" s="43" t="str">
        <f t="shared" si="9"/>
        <v>2024-04</v>
      </c>
    </row>
    <row r="10" spans="1:26" x14ac:dyDescent="0.2">
      <c r="A10" s="43" t="s">
        <v>165</v>
      </c>
      <c r="B10" s="44">
        <v>45405</v>
      </c>
      <c r="C10" s="43" t="s">
        <v>166</v>
      </c>
      <c r="D10" s="43" t="s">
        <v>167</v>
      </c>
      <c r="E10" s="43" t="s">
        <v>168</v>
      </c>
      <c r="F10" s="43" t="s">
        <v>87</v>
      </c>
      <c r="G10" s="43" t="s">
        <v>67</v>
      </c>
      <c r="H10" s="43">
        <v>3</v>
      </c>
      <c r="I10" s="45">
        <v>899.99</v>
      </c>
      <c r="J10" s="43" t="s">
        <v>78</v>
      </c>
      <c r="K10" s="43" t="s">
        <v>66</v>
      </c>
      <c r="L10" s="43" t="s">
        <v>149</v>
      </c>
      <c r="M10" s="44">
        <v>45299</v>
      </c>
      <c r="N10" s="45">
        <v>2699.97</v>
      </c>
      <c r="O10" s="43" t="str">
        <f t="shared" si="0"/>
        <v>OK</v>
      </c>
      <c r="P10" s="44">
        <f t="shared" si="1"/>
        <v>45412</v>
      </c>
      <c r="Q10" s="43" t="str">
        <f t="shared" si="2"/>
        <v>Apr-24</v>
      </c>
      <c r="R10" s="43">
        <f t="shared" si="3"/>
        <v>0</v>
      </c>
      <c r="S10" s="43">
        <f t="shared" si="4"/>
        <v>3</v>
      </c>
      <c r="T10" s="43">
        <f t="shared" ca="1" si="5"/>
        <v>913</v>
      </c>
      <c r="U10" s="43" t="str">
        <f t="shared" si="6"/>
        <v>RT</v>
      </c>
      <c r="V10" s="43" t="str">
        <f t="shared" si="7"/>
        <v>LAP</v>
      </c>
      <c r="W10" s="43" t="str">
        <f t="shared" si="8"/>
        <v>E-2404-135</v>
      </c>
      <c r="X10" s="43" t="str">
        <f>IF(COUNTIF($D$2:D10,D10)&gt;1,"Repeat","First")</f>
        <v>First</v>
      </c>
      <c r="Y10" s="43" t="str">
        <f>IF(AND(K10=Filter!$B$4,N10&gt;=Filter!$B$5),MAX(Y$1:Y9)+1,"")</f>
        <v/>
      </c>
      <c r="Z10" s="43" t="str">
        <f t="shared" si="9"/>
        <v>2024-04</v>
      </c>
    </row>
    <row r="11" spans="1:26" x14ac:dyDescent="0.2">
      <c r="A11" s="43" t="s">
        <v>169</v>
      </c>
      <c r="B11" s="44">
        <v>45408</v>
      </c>
      <c r="C11" s="43" t="s">
        <v>170</v>
      </c>
      <c r="D11" s="43" t="s">
        <v>171</v>
      </c>
      <c r="E11" s="43" t="s">
        <v>148</v>
      </c>
      <c r="F11" s="43" t="s">
        <v>65</v>
      </c>
      <c r="G11" s="43" t="s">
        <v>62</v>
      </c>
      <c r="H11" s="43">
        <v>3</v>
      </c>
      <c r="I11" s="45">
        <v>59.99</v>
      </c>
      <c r="J11" s="43" t="s">
        <v>63</v>
      </c>
      <c r="K11" s="43" t="s">
        <v>81</v>
      </c>
      <c r="L11" s="43" t="s">
        <v>144</v>
      </c>
      <c r="M11" s="44">
        <v>45207</v>
      </c>
      <c r="N11" s="45">
        <v>179.97</v>
      </c>
      <c r="O11" s="43" t="str">
        <f t="shared" si="0"/>
        <v>OK</v>
      </c>
      <c r="P11" s="44">
        <f t="shared" si="1"/>
        <v>45412</v>
      </c>
      <c r="Q11" s="43" t="str">
        <f t="shared" si="2"/>
        <v>Apr-24</v>
      </c>
      <c r="R11" s="43">
        <f t="shared" si="3"/>
        <v>0</v>
      </c>
      <c r="S11" s="43">
        <f t="shared" si="4"/>
        <v>6</v>
      </c>
      <c r="T11" s="43">
        <f t="shared" ca="1" si="5"/>
        <v>910</v>
      </c>
      <c r="U11" s="43" t="str">
        <f t="shared" si="6"/>
        <v>KH</v>
      </c>
      <c r="V11" s="43" t="str">
        <f t="shared" si="7"/>
        <v>BLE</v>
      </c>
      <c r="W11" s="43" t="str">
        <f t="shared" si="8"/>
        <v>W-2404-185</v>
      </c>
      <c r="X11" s="43" t="str">
        <f>IF(COUNTIF($D$2:D11,D11)&gt;1,"Repeat","First")</f>
        <v>First</v>
      </c>
      <c r="Y11" s="43" t="str">
        <f>IF(AND(K11=Filter!$B$4,N11&gt;=Filter!$B$5),MAX(Y$1:Y10)+1,"")</f>
        <v/>
      </c>
      <c r="Z11" s="43" t="str">
        <f t="shared" si="9"/>
        <v>2024-04</v>
      </c>
    </row>
    <row r="12" spans="1:26" x14ac:dyDescent="0.2">
      <c r="A12" s="43" t="s">
        <v>172</v>
      </c>
      <c r="B12" s="44">
        <v>45408</v>
      </c>
      <c r="C12" s="43" t="s">
        <v>173</v>
      </c>
      <c r="D12" s="43" t="s">
        <v>174</v>
      </c>
      <c r="E12" s="43" t="s">
        <v>156</v>
      </c>
      <c r="F12" s="43" t="s">
        <v>70</v>
      </c>
      <c r="G12" s="43" t="s">
        <v>72</v>
      </c>
      <c r="H12" s="43">
        <v>1</v>
      </c>
      <c r="I12" s="45">
        <v>149.99</v>
      </c>
      <c r="J12" s="43" t="s">
        <v>68</v>
      </c>
      <c r="K12" s="43" t="s">
        <v>81</v>
      </c>
      <c r="L12" s="43" t="s">
        <v>149</v>
      </c>
      <c r="M12" s="44">
        <v>45103</v>
      </c>
      <c r="N12" s="45">
        <v>149.99</v>
      </c>
      <c r="O12" s="43" t="str">
        <f t="shared" si="0"/>
        <v>OK</v>
      </c>
      <c r="P12" s="44">
        <f t="shared" si="1"/>
        <v>45412</v>
      </c>
      <c r="Q12" s="43" t="str">
        <f t="shared" si="2"/>
        <v>Apr-24</v>
      </c>
      <c r="R12" s="43">
        <f t="shared" si="3"/>
        <v>0</v>
      </c>
      <c r="S12" s="43">
        <f t="shared" si="4"/>
        <v>10</v>
      </c>
      <c r="T12" s="43">
        <f t="shared" ca="1" si="5"/>
        <v>910</v>
      </c>
      <c r="U12" s="43" t="str">
        <f t="shared" si="6"/>
        <v>SG</v>
      </c>
      <c r="V12" s="43" t="str">
        <f t="shared" si="7"/>
        <v>BOO</v>
      </c>
      <c r="W12" s="43" t="str">
        <f t="shared" si="8"/>
        <v>W-2404-138</v>
      </c>
      <c r="X12" s="43" t="str">
        <f>IF(COUNTIF($D$2:D12,D12)&gt;1,"Repeat","First")</f>
        <v>First</v>
      </c>
      <c r="Y12" s="43" t="str">
        <f>IF(AND(K12=Filter!$B$4,N12&gt;=Filter!$B$5),MAX(Y$1:Y11)+1,"")</f>
        <v/>
      </c>
      <c r="Z12" s="43" t="str">
        <f t="shared" si="9"/>
        <v>2024-04</v>
      </c>
    </row>
    <row r="13" spans="1:26" x14ac:dyDescent="0.2">
      <c r="A13" s="43" t="s">
        <v>175</v>
      </c>
      <c r="B13" s="44">
        <v>45408</v>
      </c>
      <c r="C13" s="43" t="s">
        <v>151</v>
      </c>
      <c r="D13" s="43" t="s">
        <v>152</v>
      </c>
      <c r="E13" s="43" t="s">
        <v>156</v>
      </c>
      <c r="F13" s="43" t="s">
        <v>70</v>
      </c>
      <c r="G13" s="43" t="s">
        <v>72</v>
      </c>
      <c r="H13" s="43">
        <v>5</v>
      </c>
      <c r="I13" s="45">
        <v>149.99</v>
      </c>
      <c r="J13" s="43" t="s">
        <v>73</v>
      </c>
      <c r="K13" s="43" t="s">
        <v>71</v>
      </c>
      <c r="L13" s="43" t="s">
        <v>140</v>
      </c>
      <c r="M13" s="44">
        <v>44830</v>
      </c>
      <c r="N13" s="45">
        <v>749.95</v>
      </c>
      <c r="O13" s="43" t="str">
        <f t="shared" si="0"/>
        <v>OK</v>
      </c>
      <c r="P13" s="44">
        <f t="shared" si="1"/>
        <v>45412</v>
      </c>
      <c r="Q13" s="43" t="str">
        <f t="shared" si="2"/>
        <v>Apr-24</v>
      </c>
      <c r="R13" s="43">
        <f t="shared" si="3"/>
        <v>1</v>
      </c>
      <c r="S13" s="43">
        <f t="shared" si="4"/>
        <v>19</v>
      </c>
      <c r="T13" s="43">
        <f t="shared" ca="1" si="5"/>
        <v>910</v>
      </c>
      <c r="U13" s="43" t="str">
        <f t="shared" si="6"/>
        <v>KB</v>
      </c>
      <c r="V13" s="43" t="str">
        <f t="shared" si="7"/>
        <v>BOO</v>
      </c>
      <c r="W13" s="43" t="str">
        <f t="shared" si="8"/>
        <v>N-2404-209</v>
      </c>
      <c r="X13" s="43" t="str">
        <f>IF(COUNTIF($D$2:D13,D13)&gt;1,"Repeat","First")</f>
        <v>Repeat</v>
      </c>
      <c r="Y13" s="43" t="str">
        <f>IF(AND(K13=Filter!$B$4,N13&gt;=Filter!$B$5),MAX(Y$1:Y12)+1,"")</f>
        <v/>
      </c>
      <c r="Z13" s="43" t="str">
        <f t="shared" si="9"/>
        <v>2024-04</v>
      </c>
    </row>
    <row r="14" spans="1:26" x14ac:dyDescent="0.2">
      <c r="A14" s="43" t="s">
        <v>176</v>
      </c>
      <c r="B14" s="44">
        <v>45408</v>
      </c>
      <c r="C14" s="43" t="s">
        <v>177</v>
      </c>
      <c r="D14" s="43" t="s">
        <v>178</v>
      </c>
      <c r="E14" s="43" t="s">
        <v>156</v>
      </c>
      <c r="F14" s="43" t="s">
        <v>70</v>
      </c>
      <c r="G14" s="43" t="s">
        <v>72</v>
      </c>
      <c r="H14" s="43">
        <v>3</v>
      </c>
      <c r="I14" s="45">
        <v>149.99</v>
      </c>
      <c r="J14" s="43" t="s">
        <v>63</v>
      </c>
      <c r="K14" s="43" t="s">
        <v>71</v>
      </c>
      <c r="L14" s="43" t="s">
        <v>144</v>
      </c>
      <c r="M14" s="44">
        <v>44806</v>
      </c>
      <c r="N14" s="45">
        <v>449.97</v>
      </c>
      <c r="O14" s="43" t="str">
        <f t="shared" si="0"/>
        <v>OK</v>
      </c>
      <c r="P14" s="44">
        <f t="shared" si="1"/>
        <v>45412</v>
      </c>
      <c r="Q14" s="43" t="str">
        <f t="shared" si="2"/>
        <v>Apr-24</v>
      </c>
      <c r="R14" s="43">
        <f t="shared" si="3"/>
        <v>1</v>
      </c>
      <c r="S14" s="43">
        <f t="shared" si="4"/>
        <v>19</v>
      </c>
      <c r="T14" s="43">
        <f t="shared" ca="1" si="5"/>
        <v>910</v>
      </c>
      <c r="U14" s="43" t="str">
        <f t="shared" si="6"/>
        <v>PR</v>
      </c>
      <c r="V14" s="43" t="str">
        <f t="shared" si="7"/>
        <v>BOO</v>
      </c>
      <c r="W14" s="43" t="str">
        <f t="shared" si="8"/>
        <v>N-2404-246</v>
      </c>
      <c r="X14" s="43" t="str">
        <f>IF(COUNTIF($D$2:D14,D14)&gt;1,"Repeat","First")</f>
        <v>First</v>
      </c>
      <c r="Y14" s="43" t="str">
        <f>IF(AND(K14=Filter!$B$4,N14&gt;=Filter!$B$5),MAX(Y$1:Y13)+1,"")</f>
        <v/>
      </c>
      <c r="Z14" s="43" t="str">
        <f t="shared" si="9"/>
        <v>2024-04</v>
      </c>
    </row>
    <row r="15" spans="1:26" x14ac:dyDescent="0.2">
      <c r="A15" s="43" t="s">
        <v>179</v>
      </c>
      <c r="B15" s="44">
        <v>45409</v>
      </c>
      <c r="C15" s="43" t="s">
        <v>180</v>
      </c>
      <c r="D15" s="43" t="s">
        <v>181</v>
      </c>
      <c r="E15" s="43" t="s">
        <v>148</v>
      </c>
      <c r="F15" s="43" t="s">
        <v>65</v>
      </c>
      <c r="G15" s="43" t="s">
        <v>62</v>
      </c>
      <c r="H15" s="43">
        <v>3</v>
      </c>
      <c r="I15" s="45">
        <v>59.99</v>
      </c>
      <c r="J15" s="43" t="s">
        <v>68</v>
      </c>
      <c r="K15" s="43" t="s">
        <v>71</v>
      </c>
      <c r="L15" s="43" t="s">
        <v>149</v>
      </c>
      <c r="M15" s="44">
        <v>45351</v>
      </c>
      <c r="N15" s="45">
        <v>179.97</v>
      </c>
      <c r="O15" s="43" t="str">
        <f t="shared" si="0"/>
        <v>OK</v>
      </c>
      <c r="P15" s="44">
        <f t="shared" si="1"/>
        <v>45412</v>
      </c>
      <c r="Q15" s="43" t="str">
        <f t="shared" si="2"/>
        <v>Apr-24</v>
      </c>
      <c r="R15" s="43">
        <f t="shared" si="3"/>
        <v>0</v>
      </c>
      <c r="S15" s="43">
        <f t="shared" si="4"/>
        <v>1</v>
      </c>
      <c r="T15" s="43">
        <f t="shared" ca="1" si="5"/>
        <v>909</v>
      </c>
      <c r="U15" s="43" t="str">
        <f t="shared" si="6"/>
        <v>DG</v>
      </c>
      <c r="V15" s="43" t="str">
        <f t="shared" si="7"/>
        <v>BLE</v>
      </c>
      <c r="W15" s="43" t="str">
        <f t="shared" si="8"/>
        <v>N-2404-067</v>
      </c>
      <c r="X15" s="43" t="str">
        <f>IF(COUNTIF($D$2:D15,D15)&gt;1,"Repeat","First")</f>
        <v>First</v>
      </c>
      <c r="Y15" s="43" t="str">
        <f>IF(AND(K15=Filter!$B$4,N15&gt;=Filter!$B$5),MAX(Y$1:Y14)+1,"")</f>
        <v/>
      </c>
      <c r="Z15" s="43" t="str">
        <f t="shared" si="9"/>
        <v>2024-04</v>
      </c>
    </row>
    <row r="16" spans="1:26" x14ac:dyDescent="0.2">
      <c r="A16" s="43" t="s">
        <v>182</v>
      </c>
      <c r="B16" s="44">
        <v>45409</v>
      </c>
      <c r="C16" s="43" t="s">
        <v>183</v>
      </c>
      <c r="D16" s="43" t="s">
        <v>184</v>
      </c>
      <c r="E16" s="43" t="s">
        <v>185</v>
      </c>
      <c r="F16" s="43" t="s">
        <v>93</v>
      </c>
      <c r="G16" s="43" t="s">
        <v>67</v>
      </c>
      <c r="H16" s="43">
        <v>3</v>
      </c>
      <c r="I16" s="45">
        <v>699.99</v>
      </c>
      <c r="J16" s="43" t="s">
        <v>68</v>
      </c>
      <c r="K16" s="43" t="s">
        <v>81</v>
      </c>
      <c r="L16" s="43" t="s">
        <v>140</v>
      </c>
      <c r="M16" s="44">
        <v>44577</v>
      </c>
      <c r="N16" s="45">
        <v>2099.9699999999998</v>
      </c>
      <c r="O16" s="43" t="str">
        <f t="shared" si="0"/>
        <v>OK</v>
      </c>
      <c r="P16" s="44">
        <f t="shared" si="1"/>
        <v>45412</v>
      </c>
      <c r="Q16" s="43" t="str">
        <f t="shared" si="2"/>
        <v>Apr-24</v>
      </c>
      <c r="R16" s="43">
        <f t="shared" si="3"/>
        <v>2</v>
      </c>
      <c r="S16" s="43">
        <f t="shared" si="4"/>
        <v>27</v>
      </c>
      <c r="T16" s="43">
        <f t="shared" ca="1" si="5"/>
        <v>909</v>
      </c>
      <c r="U16" s="43" t="str">
        <f t="shared" si="6"/>
        <v>MR</v>
      </c>
      <c r="V16" s="43" t="str">
        <f t="shared" si="7"/>
        <v>SMA</v>
      </c>
      <c r="W16" s="43" t="str">
        <f t="shared" si="8"/>
        <v>W-2404-191</v>
      </c>
      <c r="X16" s="43" t="str">
        <f>IF(COUNTIF($D$2:D16,D16)&gt;1,"Repeat","First")</f>
        <v>First</v>
      </c>
      <c r="Y16" s="43">
        <f>IF(AND(K16=Filter!$B$4,N16&gt;=Filter!$B$5),MAX(Y$1:Y15)+1,"")</f>
        <v>1</v>
      </c>
      <c r="Z16" s="43" t="str">
        <f t="shared" si="9"/>
        <v>2024-04</v>
      </c>
    </row>
    <row r="17" spans="1:26" x14ac:dyDescent="0.2">
      <c r="A17" s="43" t="s">
        <v>186</v>
      </c>
      <c r="B17" s="44">
        <v>45409</v>
      </c>
      <c r="C17" s="43" t="s">
        <v>187</v>
      </c>
      <c r="D17" s="43" t="s">
        <v>188</v>
      </c>
      <c r="E17" s="43" t="s">
        <v>168</v>
      </c>
      <c r="F17" s="43" t="s">
        <v>87</v>
      </c>
      <c r="G17" s="43" t="s">
        <v>67</v>
      </c>
      <c r="H17" s="43">
        <v>1</v>
      </c>
      <c r="I17" s="45">
        <v>899.99</v>
      </c>
      <c r="J17" s="43" t="s">
        <v>73</v>
      </c>
      <c r="K17" s="43" t="s">
        <v>71</v>
      </c>
      <c r="L17" s="43" t="s">
        <v>149</v>
      </c>
      <c r="M17" s="44">
        <v>44920</v>
      </c>
      <c r="N17" s="45">
        <v>899.99</v>
      </c>
      <c r="O17" s="43" t="str">
        <f t="shared" si="0"/>
        <v>OK</v>
      </c>
      <c r="P17" s="44">
        <f t="shared" si="1"/>
        <v>45412</v>
      </c>
      <c r="Q17" s="43" t="str">
        <f t="shared" si="2"/>
        <v>Apr-24</v>
      </c>
      <c r="R17" s="43">
        <f t="shared" si="3"/>
        <v>1</v>
      </c>
      <c r="S17" s="43">
        <f t="shared" si="4"/>
        <v>16</v>
      </c>
      <c r="T17" s="43">
        <f t="shared" ca="1" si="5"/>
        <v>909</v>
      </c>
      <c r="U17" s="43" t="str">
        <f t="shared" si="6"/>
        <v>GA</v>
      </c>
      <c r="V17" s="43" t="str">
        <f t="shared" si="7"/>
        <v>LAP</v>
      </c>
      <c r="W17" s="43" t="str">
        <f t="shared" si="8"/>
        <v>N-2404-230</v>
      </c>
      <c r="X17" s="43" t="str">
        <f>IF(COUNTIF($D$2:D17,D17)&gt;1,"Repeat","First")</f>
        <v>First</v>
      </c>
      <c r="Y17" s="43" t="str">
        <f>IF(AND(K17=Filter!$B$4,N17&gt;=Filter!$B$5),MAX(Y$1:Y16)+1,"")</f>
        <v/>
      </c>
      <c r="Z17" s="43" t="str">
        <f t="shared" si="9"/>
        <v>2024-04</v>
      </c>
    </row>
    <row r="18" spans="1:26" x14ac:dyDescent="0.2">
      <c r="A18" s="43" t="s">
        <v>189</v>
      </c>
      <c r="B18" s="44">
        <v>45410</v>
      </c>
      <c r="C18" s="43" t="s">
        <v>190</v>
      </c>
      <c r="D18" s="43" t="s">
        <v>191</v>
      </c>
      <c r="E18" s="43" t="s">
        <v>156</v>
      </c>
      <c r="F18" s="43" t="s">
        <v>70</v>
      </c>
      <c r="G18" s="43" t="s">
        <v>72</v>
      </c>
      <c r="H18" s="43">
        <v>4</v>
      </c>
      <c r="I18" s="45">
        <v>149.99</v>
      </c>
      <c r="J18" s="43" t="s">
        <v>73</v>
      </c>
      <c r="K18" s="43" t="s">
        <v>71</v>
      </c>
      <c r="L18" s="43" t="s">
        <v>144</v>
      </c>
      <c r="M18" s="44">
        <v>45374</v>
      </c>
      <c r="N18" s="45">
        <v>599.96</v>
      </c>
      <c r="O18" s="43" t="str">
        <f t="shared" si="0"/>
        <v>OK</v>
      </c>
      <c r="P18" s="44">
        <f t="shared" si="1"/>
        <v>45412</v>
      </c>
      <c r="Q18" s="43" t="str">
        <f t="shared" si="2"/>
        <v>Apr-24</v>
      </c>
      <c r="R18" s="43">
        <f t="shared" si="3"/>
        <v>0</v>
      </c>
      <c r="S18" s="43">
        <f t="shared" si="4"/>
        <v>1</v>
      </c>
      <c r="T18" s="43">
        <f t="shared" ca="1" si="5"/>
        <v>908</v>
      </c>
      <c r="U18" s="43" t="str">
        <f t="shared" si="6"/>
        <v>MC</v>
      </c>
      <c r="V18" s="43" t="str">
        <f t="shared" si="7"/>
        <v>BOO</v>
      </c>
      <c r="W18" s="43" t="str">
        <f t="shared" si="8"/>
        <v>N-2404-049</v>
      </c>
      <c r="X18" s="43" t="str">
        <f>IF(COUNTIF($D$2:D18,D18)&gt;1,"Repeat","First")</f>
        <v>First</v>
      </c>
      <c r="Y18" s="43" t="str">
        <f>IF(AND(K18=Filter!$B$4,N18&gt;=Filter!$B$5),MAX(Y$1:Y17)+1,"")</f>
        <v/>
      </c>
      <c r="Z18" s="43" t="str">
        <f t="shared" si="9"/>
        <v>2024-04</v>
      </c>
    </row>
    <row r="19" spans="1:26" x14ac:dyDescent="0.2">
      <c r="A19" s="43" t="s">
        <v>192</v>
      </c>
      <c r="B19" s="44">
        <v>45410</v>
      </c>
      <c r="C19" s="43" t="s">
        <v>193</v>
      </c>
      <c r="D19" s="43" t="s">
        <v>194</v>
      </c>
      <c r="E19" s="43" t="s">
        <v>185</v>
      </c>
      <c r="F19" s="43" t="s">
        <v>93</v>
      </c>
      <c r="G19" s="43" t="s">
        <v>67</v>
      </c>
      <c r="H19" s="43">
        <v>2</v>
      </c>
      <c r="I19" s="45">
        <v>699.99</v>
      </c>
      <c r="J19" s="43" t="s">
        <v>63</v>
      </c>
      <c r="K19" s="43" t="s">
        <v>71</v>
      </c>
      <c r="L19" s="43" t="s">
        <v>140</v>
      </c>
      <c r="M19" s="44">
        <v>44781</v>
      </c>
      <c r="N19" s="45">
        <v>1399.98</v>
      </c>
      <c r="O19" s="43" t="str">
        <f t="shared" si="0"/>
        <v>OK</v>
      </c>
      <c r="P19" s="44">
        <f t="shared" si="1"/>
        <v>45412</v>
      </c>
      <c r="Q19" s="43" t="str">
        <f t="shared" si="2"/>
        <v>Apr-24</v>
      </c>
      <c r="R19" s="43">
        <f t="shared" si="3"/>
        <v>1</v>
      </c>
      <c r="S19" s="43">
        <f t="shared" si="4"/>
        <v>20</v>
      </c>
      <c r="T19" s="43">
        <f t="shared" ca="1" si="5"/>
        <v>908</v>
      </c>
      <c r="U19" s="43" t="str">
        <f t="shared" si="6"/>
        <v>MG</v>
      </c>
      <c r="V19" s="43" t="str">
        <f t="shared" si="7"/>
        <v>SMA</v>
      </c>
      <c r="W19" s="43" t="str">
        <f t="shared" si="8"/>
        <v>N-2404-134</v>
      </c>
      <c r="X19" s="43" t="str">
        <f>IF(COUNTIF($D$2:D19,D19)&gt;1,"Repeat","First")</f>
        <v>First</v>
      </c>
      <c r="Y19" s="43" t="str">
        <f>IF(AND(K19=Filter!$B$4,N19&gt;=Filter!$B$5),MAX(Y$1:Y18)+1,"")</f>
        <v/>
      </c>
      <c r="Z19" s="43" t="str">
        <f t="shared" si="9"/>
        <v>2024-04</v>
      </c>
    </row>
    <row r="20" spans="1:26" x14ac:dyDescent="0.2">
      <c r="A20" s="43" t="s">
        <v>195</v>
      </c>
      <c r="B20" s="44">
        <v>45410</v>
      </c>
      <c r="C20" s="43" t="s">
        <v>190</v>
      </c>
      <c r="D20" s="43" t="s">
        <v>191</v>
      </c>
      <c r="E20" s="43" t="s">
        <v>168</v>
      </c>
      <c r="F20" s="43" t="s">
        <v>87</v>
      </c>
      <c r="G20" s="43" t="s">
        <v>67</v>
      </c>
      <c r="H20" s="43">
        <v>4</v>
      </c>
      <c r="I20" s="45">
        <v>899.99</v>
      </c>
      <c r="J20" s="43" t="s">
        <v>68</v>
      </c>
      <c r="K20" s="43" t="s">
        <v>81</v>
      </c>
      <c r="L20" s="43" t="s">
        <v>149</v>
      </c>
      <c r="M20" s="44">
        <v>45327</v>
      </c>
      <c r="N20" s="45">
        <v>3599.96</v>
      </c>
      <c r="O20" s="43" t="str">
        <f t="shared" si="0"/>
        <v>OK</v>
      </c>
      <c r="P20" s="44">
        <f t="shared" si="1"/>
        <v>45412</v>
      </c>
      <c r="Q20" s="43" t="str">
        <f t="shared" si="2"/>
        <v>Apr-24</v>
      </c>
      <c r="R20" s="43">
        <f t="shared" si="3"/>
        <v>0</v>
      </c>
      <c r="S20" s="43">
        <f t="shared" si="4"/>
        <v>2</v>
      </c>
      <c r="T20" s="43">
        <f t="shared" ca="1" si="5"/>
        <v>908</v>
      </c>
      <c r="U20" s="43" t="str">
        <f t="shared" si="6"/>
        <v>MC</v>
      </c>
      <c r="V20" s="43" t="str">
        <f t="shared" si="7"/>
        <v>LAP</v>
      </c>
      <c r="W20" s="43" t="str">
        <f t="shared" si="8"/>
        <v>W-2404-122</v>
      </c>
      <c r="X20" s="43" t="str">
        <f>IF(COUNTIF($D$2:D20,D20)&gt;1,"Repeat","First")</f>
        <v>Repeat</v>
      </c>
      <c r="Y20" s="43">
        <f>IF(AND(K20=Filter!$B$4,N20&gt;=Filter!$B$5),MAX(Y$1:Y19)+1,"")</f>
        <v>2</v>
      </c>
      <c r="Z20" s="43" t="str">
        <f t="shared" si="9"/>
        <v>2024-04</v>
      </c>
    </row>
    <row r="21" spans="1:26" x14ac:dyDescent="0.2">
      <c r="A21" s="43" t="s">
        <v>196</v>
      </c>
      <c r="B21" s="44">
        <v>45410</v>
      </c>
      <c r="C21" s="43" t="s">
        <v>197</v>
      </c>
      <c r="D21" s="43" t="s">
        <v>198</v>
      </c>
      <c r="E21" s="43" t="s">
        <v>139</v>
      </c>
      <c r="F21" s="43" t="s">
        <v>89</v>
      </c>
      <c r="G21" s="43" t="s">
        <v>67</v>
      </c>
      <c r="H21" s="43">
        <v>3</v>
      </c>
      <c r="I21" s="45">
        <v>249.99</v>
      </c>
      <c r="J21" s="43" t="s">
        <v>68</v>
      </c>
      <c r="K21" s="43" t="s">
        <v>71</v>
      </c>
      <c r="L21" s="43" t="s">
        <v>144</v>
      </c>
      <c r="M21" s="44">
        <v>45224</v>
      </c>
      <c r="N21" s="45">
        <v>749.97</v>
      </c>
      <c r="O21" s="43" t="str">
        <f t="shared" si="0"/>
        <v>OK</v>
      </c>
      <c r="P21" s="44">
        <f t="shared" si="1"/>
        <v>45412</v>
      </c>
      <c r="Q21" s="43" t="str">
        <f t="shared" si="2"/>
        <v>Apr-24</v>
      </c>
      <c r="R21" s="43">
        <f t="shared" si="3"/>
        <v>0</v>
      </c>
      <c r="S21" s="43">
        <f t="shared" si="4"/>
        <v>6</v>
      </c>
      <c r="T21" s="43">
        <f t="shared" ca="1" si="5"/>
        <v>908</v>
      </c>
      <c r="U21" s="43" t="str">
        <f t="shared" si="6"/>
        <v>VS</v>
      </c>
      <c r="V21" s="43" t="str">
        <f t="shared" si="7"/>
        <v>MON</v>
      </c>
      <c r="W21" s="43" t="str">
        <f t="shared" si="8"/>
        <v>N-2404-222</v>
      </c>
      <c r="X21" s="43" t="str">
        <f>IF(COUNTIF($D$2:D21,D21)&gt;1,"Repeat","First")</f>
        <v>First</v>
      </c>
      <c r="Y21" s="43" t="str">
        <f>IF(AND(K21=Filter!$B$4,N21&gt;=Filter!$B$5),MAX(Y$1:Y20)+1,"")</f>
        <v/>
      </c>
      <c r="Z21" s="43" t="str">
        <f t="shared" si="9"/>
        <v>2024-04</v>
      </c>
    </row>
    <row r="22" spans="1:26" x14ac:dyDescent="0.2">
      <c r="A22" s="43" t="s">
        <v>199</v>
      </c>
      <c r="B22" s="44">
        <v>45412</v>
      </c>
      <c r="C22" s="43" t="s">
        <v>200</v>
      </c>
      <c r="D22" s="43" t="s">
        <v>201</v>
      </c>
      <c r="E22" s="43" t="s">
        <v>185</v>
      </c>
      <c r="F22" s="43" t="s">
        <v>93</v>
      </c>
      <c r="G22" s="43" t="s">
        <v>67</v>
      </c>
      <c r="H22" s="43">
        <v>5</v>
      </c>
      <c r="I22" s="45">
        <v>699.99</v>
      </c>
      <c r="J22" s="43" t="s">
        <v>63</v>
      </c>
      <c r="K22" s="43" t="s">
        <v>81</v>
      </c>
      <c r="L22" s="43" t="s">
        <v>140</v>
      </c>
      <c r="M22" s="44">
        <v>45167</v>
      </c>
      <c r="N22" s="45">
        <v>3499.95</v>
      </c>
      <c r="O22" s="43" t="str">
        <f t="shared" si="0"/>
        <v>OK</v>
      </c>
      <c r="P22" s="44">
        <f t="shared" si="1"/>
        <v>45412</v>
      </c>
      <c r="Q22" s="43" t="str">
        <f t="shared" si="2"/>
        <v>Apr-24</v>
      </c>
      <c r="R22" s="43">
        <f t="shared" si="3"/>
        <v>0</v>
      </c>
      <c r="S22" s="43">
        <f t="shared" si="4"/>
        <v>8</v>
      </c>
      <c r="T22" s="43">
        <f t="shared" ca="1" si="5"/>
        <v>906</v>
      </c>
      <c r="U22" s="43" t="str">
        <f t="shared" si="6"/>
        <v>BY</v>
      </c>
      <c r="V22" s="43" t="str">
        <f t="shared" si="7"/>
        <v>SMA</v>
      </c>
      <c r="W22" s="43" t="str">
        <f t="shared" si="8"/>
        <v>W-2404-231</v>
      </c>
      <c r="X22" s="43" t="str">
        <f>IF(COUNTIF($D$2:D22,D22)&gt;1,"Repeat","First")</f>
        <v>First</v>
      </c>
      <c r="Y22" s="43">
        <f>IF(AND(K22=Filter!$B$4,N22&gt;=Filter!$B$5),MAX(Y$1:Y21)+1,"")</f>
        <v>3</v>
      </c>
      <c r="Z22" s="43" t="str">
        <f t="shared" si="9"/>
        <v>2024-04</v>
      </c>
    </row>
    <row r="23" spans="1:26" x14ac:dyDescent="0.2">
      <c r="A23" s="43" t="s">
        <v>202</v>
      </c>
      <c r="B23" s="44">
        <v>45413</v>
      </c>
      <c r="C23" s="43" t="s">
        <v>203</v>
      </c>
      <c r="D23" s="43" t="s">
        <v>204</v>
      </c>
      <c r="E23" s="43" t="s">
        <v>185</v>
      </c>
      <c r="F23" s="43" t="s">
        <v>93</v>
      </c>
      <c r="G23" s="43" t="s">
        <v>67</v>
      </c>
      <c r="H23" s="43">
        <v>4</v>
      </c>
      <c r="I23" s="45">
        <v>699.99</v>
      </c>
      <c r="J23" s="43" t="s">
        <v>63</v>
      </c>
      <c r="K23" s="43" t="s">
        <v>66</v>
      </c>
      <c r="L23" s="43" t="s">
        <v>149</v>
      </c>
      <c r="M23" s="44">
        <v>44409</v>
      </c>
      <c r="N23" s="45">
        <v>2799.96</v>
      </c>
      <c r="O23" s="43" t="str">
        <f t="shared" si="0"/>
        <v>OK</v>
      </c>
      <c r="P23" s="44">
        <f t="shared" si="1"/>
        <v>45443</v>
      </c>
      <c r="Q23" s="43" t="str">
        <f t="shared" si="2"/>
        <v>May-24</v>
      </c>
      <c r="R23" s="43">
        <f t="shared" si="3"/>
        <v>2</v>
      </c>
      <c r="S23" s="43">
        <f t="shared" si="4"/>
        <v>33</v>
      </c>
      <c r="T23" s="43">
        <f t="shared" ca="1" si="5"/>
        <v>905</v>
      </c>
      <c r="U23" s="43" t="str">
        <f t="shared" si="6"/>
        <v>PM</v>
      </c>
      <c r="V23" s="43" t="str">
        <f t="shared" si="7"/>
        <v>SMA</v>
      </c>
      <c r="W23" s="43" t="str">
        <f t="shared" si="8"/>
        <v>E-2405-239</v>
      </c>
      <c r="X23" s="43" t="str">
        <f>IF(COUNTIF($D$2:D23,D23)&gt;1,"Repeat","First")</f>
        <v>First</v>
      </c>
      <c r="Y23" s="43" t="str">
        <f>IF(AND(K23=Filter!$B$4,N23&gt;=Filter!$B$5),MAX(Y$1:Y22)+1,"")</f>
        <v/>
      </c>
      <c r="Z23" s="43" t="str">
        <f t="shared" si="9"/>
        <v>2024-05</v>
      </c>
    </row>
    <row r="24" spans="1:26" x14ac:dyDescent="0.2">
      <c r="A24" s="43" t="s">
        <v>205</v>
      </c>
      <c r="B24" s="44">
        <v>45415</v>
      </c>
      <c r="C24" s="43" t="s">
        <v>206</v>
      </c>
      <c r="D24" s="43" t="s">
        <v>207</v>
      </c>
      <c r="E24" s="43" t="s">
        <v>139</v>
      </c>
      <c r="F24" s="43" t="s">
        <v>89</v>
      </c>
      <c r="G24" s="43" t="s">
        <v>67</v>
      </c>
      <c r="H24" s="43">
        <v>4</v>
      </c>
      <c r="I24" s="45">
        <v>249.99</v>
      </c>
      <c r="J24" s="43" t="s">
        <v>78</v>
      </c>
      <c r="K24" s="43" t="s">
        <v>71</v>
      </c>
      <c r="L24" s="43" t="s">
        <v>149</v>
      </c>
      <c r="M24" s="44">
        <v>44468</v>
      </c>
      <c r="N24" s="45">
        <v>999.96</v>
      </c>
      <c r="O24" s="43" t="str">
        <f t="shared" si="0"/>
        <v>OK</v>
      </c>
      <c r="P24" s="44">
        <f t="shared" si="1"/>
        <v>45443</v>
      </c>
      <c r="Q24" s="43" t="str">
        <f t="shared" si="2"/>
        <v>May-24</v>
      </c>
      <c r="R24" s="43">
        <f t="shared" si="3"/>
        <v>2</v>
      </c>
      <c r="S24" s="43">
        <f t="shared" si="4"/>
        <v>31</v>
      </c>
      <c r="T24" s="43">
        <f t="shared" ca="1" si="5"/>
        <v>903</v>
      </c>
      <c r="U24" s="43" t="str">
        <f t="shared" si="6"/>
        <v>CP</v>
      </c>
      <c r="V24" s="43" t="str">
        <f t="shared" si="7"/>
        <v>MON</v>
      </c>
      <c r="W24" s="43" t="str">
        <f t="shared" si="8"/>
        <v>N-2405-204</v>
      </c>
      <c r="X24" s="43" t="str">
        <f>IF(COUNTIF($D$2:D24,D24)&gt;1,"Repeat","First")</f>
        <v>First</v>
      </c>
      <c r="Y24" s="43" t="str">
        <f>IF(AND(K24=Filter!$B$4,N24&gt;=Filter!$B$5),MAX(Y$1:Y23)+1,"")</f>
        <v/>
      </c>
      <c r="Z24" s="43" t="str">
        <f t="shared" si="9"/>
        <v>2024-05</v>
      </c>
    </row>
    <row r="25" spans="1:26" x14ac:dyDescent="0.2">
      <c r="A25" s="43" t="s">
        <v>208</v>
      </c>
      <c r="B25" s="44">
        <v>45416</v>
      </c>
      <c r="C25" s="43" t="s">
        <v>190</v>
      </c>
      <c r="D25" s="43" t="s">
        <v>191</v>
      </c>
      <c r="E25" s="43" t="s">
        <v>209</v>
      </c>
      <c r="F25" s="43" t="s">
        <v>80</v>
      </c>
      <c r="G25" s="43" t="s">
        <v>72</v>
      </c>
      <c r="H25" s="43">
        <v>4</v>
      </c>
      <c r="I25" s="45">
        <v>299.99</v>
      </c>
      <c r="J25" s="43" t="s">
        <v>63</v>
      </c>
      <c r="K25" s="43" t="s">
        <v>81</v>
      </c>
      <c r="L25" s="43" t="s">
        <v>144</v>
      </c>
      <c r="M25" s="44">
        <v>44716</v>
      </c>
      <c r="N25" s="45">
        <v>1199.96</v>
      </c>
      <c r="O25" s="43" t="str">
        <f t="shared" si="0"/>
        <v>OK</v>
      </c>
      <c r="P25" s="44">
        <f t="shared" si="1"/>
        <v>45443</v>
      </c>
      <c r="Q25" s="43" t="str">
        <f t="shared" si="2"/>
        <v>May-24</v>
      </c>
      <c r="R25" s="43">
        <f t="shared" si="3"/>
        <v>1</v>
      </c>
      <c r="S25" s="43">
        <f t="shared" si="4"/>
        <v>23</v>
      </c>
      <c r="T25" s="43">
        <f t="shared" ca="1" si="5"/>
        <v>902</v>
      </c>
      <c r="U25" s="43" t="str">
        <f t="shared" si="6"/>
        <v>MC</v>
      </c>
      <c r="V25" s="43" t="str">
        <f t="shared" si="7"/>
        <v>DES</v>
      </c>
      <c r="W25" s="43" t="str">
        <f t="shared" si="8"/>
        <v>W-2405-242</v>
      </c>
      <c r="X25" s="43" t="str">
        <f>IF(COUNTIF($D$2:D25,D25)&gt;1,"Repeat","First")</f>
        <v>Repeat</v>
      </c>
      <c r="Y25" s="43">
        <f>IF(AND(K25=Filter!$B$4,N25&gt;=Filter!$B$5),MAX(Y$1:Y24)+1,"")</f>
        <v>4</v>
      </c>
      <c r="Z25" s="43" t="str">
        <f t="shared" si="9"/>
        <v>2024-05</v>
      </c>
    </row>
    <row r="26" spans="1:26" x14ac:dyDescent="0.2">
      <c r="A26" s="43" t="s">
        <v>210</v>
      </c>
      <c r="B26" s="44">
        <v>45422</v>
      </c>
      <c r="C26" s="43" t="s">
        <v>211</v>
      </c>
      <c r="D26" s="43" t="s">
        <v>212</v>
      </c>
      <c r="E26" s="43" t="s">
        <v>139</v>
      </c>
      <c r="F26" s="43" t="s">
        <v>89</v>
      </c>
      <c r="G26" s="43" t="s">
        <v>67</v>
      </c>
      <c r="H26" s="43">
        <v>5</v>
      </c>
      <c r="I26" s="45">
        <v>249.99</v>
      </c>
      <c r="J26" s="43" t="s">
        <v>68</v>
      </c>
      <c r="K26" s="43" t="s">
        <v>81</v>
      </c>
      <c r="L26" s="43" t="s">
        <v>149</v>
      </c>
      <c r="M26" s="44">
        <v>44525</v>
      </c>
      <c r="N26" s="45">
        <v>1249.95</v>
      </c>
      <c r="O26" s="43" t="str">
        <f t="shared" si="0"/>
        <v>OK</v>
      </c>
      <c r="P26" s="44">
        <f t="shared" si="1"/>
        <v>45443</v>
      </c>
      <c r="Q26" s="43" t="str">
        <f t="shared" si="2"/>
        <v>May-24</v>
      </c>
      <c r="R26" s="43">
        <f t="shared" si="3"/>
        <v>2</v>
      </c>
      <c r="S26" s="43">
        <f t="shared" si="4"/>
        <v>29</v>
      </c>
      <c r="T26" s="43">
        <f t="shared" ca="1" si="5"/>
        <v>896</v>
      </c>
      <c r="U26" s="43" t="str">
        <f t="shared" si="6"/>
        <v>NC</v>
      </c>
      <c r="V26" s="43" t="str">
        <f t="shared" si="7"/>
        <v>MON</v>
      </c>
      <c r="W26" s="43" t="str">
        <f t="shared" si="8"/>
        <v>W-2405-071</v>
      </c>
      <c r="X26" s="43" t="str">
        <f>IF(COUNTIF($D$2:D26,D26)&gt;1,"Repeat","First")</f>
        <v>First</v>
      </c>
      <c r="Y26" s="43">
        <f>IF(AND(K26=Filter!$B$4,N26&gt;=Filter!$B$5),MAX(Y$1:Y25)+1,"")</f>
        <v>5</v>
      </c>
      <c r="Z26" s="43" t="str">
        <f t="shared" si="9"/>
        <v>2024-05</v>
      </c>
    </row>
    <row r="27" spans="1:26" x14ac:dyDescent="0.2">
      <c r="A27" s="43" t="s">
        <v>213</v>
      </c>
      <c r="B27" s="44">
        <v>45424</v>
      </c>
      <c r="C27" s="43" t="s">
        <v>173</v>
      </c>
      <c r="D27" s="43" t="s">
        <v>174</v>
      </c>
      <c r="E27" s="43" t="s">
        <v>209</v>
      </c>
      <c r="F27" s="43" t="s">
        <v>80</v>
      </c>
      <c r="G27" s="43" t="s">
        <v>72</v>
      </c>
      <c r="H27" s="43">
        <v>5</v>
      </c>
      <c r="I27" s="45">
        <v>299.99</v>
      </c>
      <c r="J27" s="43" t="s">
        <v>78</v>
      </c>
      <c r="K27" s="43" t="s">
        <v>66</v>
      </c>
      <c r="L27" s="43" t="s">
        <v>140</v>
      </c>
      <c r="M27" s="44">
        <v>45168</v>
      </c>
      <c r="N27" s="45">
        <v>1499.95</v>
      </c>
      <c r="O27" s="43" t="str">
        <f t="shared" si="0"/>
        <v>OK</v>
      </c>
      <c r="P27" s="44">
        <f t="shared" si="1"/>
        <v>45443</v>
      </c>
      <c r="Q27" s="43" t="str">
        <f t="shared" si="2"/>
        <v>May-24</v>
      </c>
      <c r="R27" s="43">
        <f t="shared" si="3"/>
        <v>0</v>
      </c>
      <c r="S27" s="43">
        <f t="shared" si="4"/>
        <v>8</v>
      </c>
      <c r="T27" s="43">
        <f t="shared" ca="1" si="5"/>
        <v>894</v>
      </c>
      <c r="U27" s="43" t="str">
        <f t="shared" si="6"/>
        <v>SG</v>
      </c>
      <c r="V27" s="43" t="str">
        <f t="shared" si="7"/>
        <v>DES</v>
      </c>
      <c r="W27" s="43" t="str">
        <f t="shared" si="8"/>
        <v>E-2405-040</v>
      </c>
      <c r="X27" s="43" t="str">
        <f>IF(COUNTIF($D$2:D27,D27)&gt;1,"Repeat","First")</f>
        <v>Repeat</v>
      </c>
      <c r="Y27" s="43" t="str">
        <f>IF(AND(K27=Filter!$B$4,N27&gt;=Filter!$B$5),MAX(Y$1:Y26)+1,"")</f>
        <v/>
      </c>
      <c r="Z27" s="43" t="str">
        <f t="shared" si="9"/>
        <v>2024-05</v>
      </c>
    </row>
    <row r="28" spans="1:26" x14ac:dyDescent="0.2">
      <c r="A28" s="43" t="s">
        <v>214</v>
      </c>
      <c r="B28" s="44">
        <v>45424</v>
      </c>
      <c r="C28" s="43" t="s">
        <v>215</v>
      </c>
      <c r="D28" s="43" t="s">
        <v>216</v>
      </c>
      <c r="E28" s="43" t="s">
        <v>217</v>
      </c>
      <c r="F28" s="43" t="s">
        <v>75</v>
      </c>
      <c r="G28" s="43" t="s">
        <v>62</v>
      </c>
      <c r="H28" s="43">
        <v>3</v>
      </c>
      <c r="I28" s="45">
        <v>79.989999999999995</v>
      </c>
      <c r="J28" s="43" t="s">
        <v>78</v>
      </c>
      <c r="K28" s="43" t="s">
        <v>66</v>
      </c>
      <c r="L28" s="43" t="s">
        <v>144</v>
      </c>
      <c r="M28" s="44">
        <v>45012</v>
      </c>
      <c r="N28" s="45">
        <v>239.97</v>
      </c>
      <c r="O28" s="43" t="str">
        <f t="shared" si="0"/>
        <v>OK</v>
      </c>
      <c r="P28" s="44">
        <f t="shared" si="1"/>
        <v>45443</v>
      </c>
      <c r="Q28" s="43" t="str">
        <f t="shared" si="2"/>
        <v>May-24</v>
      </c>
      <c r="R28" s="43">
        <f t="shared" si="3"/>
        <v>1</v>
      </c>
      <c r="S28" s="43">
        <f t="shared" si="4"/>
        <v>13</v>
      </c>
      <c r="T28" s="43">
        <f t="shared" ca="1" si="5"/>
        <v>894</v>
      </c>
      <c r="U28" s="43" t="str">
        <f t="shared" si="6"/>
        <v>LM</v>
      </c>
      <c r="V28" s="43" t="str">
        <f t="shared" si="7"/>
        <v>COF</v>
      </c>
      <c r="W28" s="43" t="str">
        <f t="shared" si="8"/>
        <v>E-2405-235</v>
      </c>
      <c r="X28" s="43" t="str">
        <f>IF(COUNTIF($D$2:D28,D28)&gt;1,"Repeat","First")</f>
        <v>First</v>
      </c>
      <c r="Y28" s="43" t="str">
        <f>IF(AND(K28=Filter!$B$4,N28&gt;=Filter!$B$5),MAX(Y$1:Y27)+1,"")</f>
        <v/>
      </c>
      <c r="Z28" s="43" t="str">
        <f t="shared" si="9"/>
        <v>2024-05</v>
      </c>
    </row>
    <row r="29" spans="1:26" x14ac:dyDescent="0.2">
      <c r="A29" s="43" t="s">
        <v>218</v>
      </c>
      <c r="B29" s="44">
        <v>45424</v>
      </c>
      <c r="C29" s="43" t="s">
        <v>203</v>
      </c>
      <c r="D29" s="43" t="s">
        <v>204</v>
      </c>
      <c r="E29" s="43" t="s">
        <v>219</v>
      </c>
      <c r="F29" s="43" t="s">
        <v>85</v>
      </c>
      <c r="G29" s="43" t="s">
        <v>67</v>
      </c>
      <c r="H29" s="43">
        <v>5</v>
      </c>
      <c r="I29" s="45">
        <v>89.99</v>
      </c>
      <c r="J29" s="43" t="s">
        <v>63</v>
      </c>
      <c r="K29" s="43" t="s">
        <v>71</v>
      </c>
      <c r="L29" s="43" t="s">
        <v>144</v>
      </c>
      <c r="M29" s="44">
        <v>44919</v>
      </c>
      <c r="N29" s="45">
        <v>449.95</v>
      </c>
      <c r="O29" s="43" t="str">
        <f t="shared" si="0"/>
        <v>OK</v>
      </c>
      <c r="P29" s="44">
        <f t="shared" si="1"/>
        <v>45443</v>
      </c>
      <c r="Q29" s="43" t="str">
        <f t="shared" si="2"/>
        <v>May-24</v>
      </c>
      <c r="R29" s="43">
        <f t="shared" si="3"/>
        <v>1</v>
      </c>
      <c r="S29" s="43">
        <f t="shared" si="4"/>
        <v>16</v>
      </c>
      <c r="T29" s="43">
        <f t="shared" ca="1" si="5"/>
        <v>894</v>
      </c>
      <c r="U29" s="43" t="str">
        <f t="shared" si="6"/>
        <v>PM</v>
      </c>
      <c r="V29" s="43" t="str">
        <f t="shared" si="7"/>
        <v>KEY</v>
      </c>
      <c r="W29" s="43" t="str">
        <f t="shared" si="8"/>
        <v>N-2405-004</v>
      </c>
      <c r="X29" s="43" t="str">
        <f>IF(COUNTIF($D$2:D29,D29)&gt;1,"Repeat","First")</f>
        <v>Repeat</v>
      </c>
      <c r="Y29" s="43" t="str">
        <f>IF(AND(K29=Filter!$B$4,N29&gt;=Filter!$B$5),MAX(Y$1:Y28)+1,"")</f>
        <v/>
      </c>
      <c r="Z29" s="43" t="str">
        <f t="shared" si="9"/>
        <v>2024-05</v>
      </c>
    </row>
    <row r="30" spans="1:26" x14ac:dyDescent="0.2">
      <c r="A30" s="43" t="s">
        <v>220</v>
      </c>
      <c r="B30" s="44">
        <v>45425</v>
      </c>
      <c r="C30" s="43" t="s">
        <v>221</v>
      </c>
      <c r="D30" s="43" t="s">
        <v>222</v>
      </c>
      <c r="E30" s="43" t="s">
        <v>148</v>
      </c>
      <c r="F30" s="43" t="s">
        <v>65</v>
      </c>
      <c r="G30" s="43" t="s">
        <v>62</v>
      </c>
      <c r="H30" s="43">
        <v>2</v>
      </c>
      <c r="I30" s="45">
        <v>59.99</v>
      </c>
      <c r="J30" s="43" t="s">
        <v>73</v>
      </c>
      <c r="K30" s="43" t="s">
        <v>61</v>
      </c>
      <c r="L30" s="43" t="s">
        <v>149</v>
      </c>
      <c r="M30" s="44">
        <v>45214</v>
      </c>
      <c r="N30" s="45">
        <v>119.98</v>
      </c>
      <c r="O30" s="43" t="str">
        <f t="shared" si="0"/>
        <v>OK</v>
      </c>
      <c r="P30" s="44">
        <f t="shared" si="1"/>
        <v>45443</v>
      </c>
      <c r="Q30" s="43" t="str">
        <f t="shared" si="2"/>
        <v>May-24</v>
      </c>
      <c r="R30" s="43">
        <f t="shared" si="3"/>
        <v>0</v>
      </c>
      <c r="S30" s="43">
        <f t="shared" si="4"/>
        <v>6</v>
      </c>
      <c r="T30" s="43">
        <f t="shared" ca="1" si="5"/>
        <v>893</v>
      </c>
      <c r="U30" s="43" t="str">
        <f t="shared" si="6"/>
        <v>HR</v>
      </c>
      <c r="V30" s="43" t="str">
        <f t="shared" si="7"/>
        <v>BLE</v>
      </c>
      <c r="W30" s="43" t="str">
        <f t="shared" si="8"/>
        <v>C-2405-063</v>
      </c>
      <c r="X30" s="43" t="str">
        <f>IF(COUNTIF($D$2:D30,D30)&gt;1,"Repeat","First")</f>
        <v>First</v>
      </c>
      <c r="Y30" s="43" t="str">
        <f>IF(AND(K30=Filter!$B$4,N30&gt;=Filter!$B$5),MAX(Y$1:Y29)+1,"")</f>
        <v/>
      </c>
      <c r="Z30" s="43" t="str">
        <f t="shared" si="9"/>
        <v>2024-05</v>
      </c>
    </row>
    <row r="31" spans="1:26" x14ac:dyDescent="0.2">
      <c r="A31" s="43" t="s">
        <v>223</v>
      </c>
      <c r="B31" s="44">
        <v>45427</v>
      </c>
      <c r="C31" s="43" t="s">
        <v>224</v>
      </c>
      <c r="D31" s="43" t="s">
        <v>225</v>
      </c>
      <c r="E31" s="43" t="s">
        <v>148</v>
      </c>
      <c r="F31" s="43" t="s">
        <v>65</v>
      </c>
      <c r="G31" s="43" t="s">
        <v>62</v>
      </c>
      <c r="H31" s="43">
        <v>4</v>
      </c>
      <c r="I31" s="45">
        <v>59.99</v>
      </c>
      <c r="J31" s="43" t="s">
        <v>73</v>
      </c>
      <c r="K31" s="43" t="s">
        <v>66</v>
      </c>
      <c r="L31" s="43" t="s">
        <v>149</v>
      </c>
      <c r="M31" s="44">
        <v>44867</v>
      </c>
      <c r="N31" s="45">
        <v>239.96</v>
      </c>
      <c r="O31" s="43" t="str">
        <f t="shared" si="0"/>
        <v>OK</v>
      </c>
      <c r="P31" s="44">
        <f t="shared" si="1"/>
        <v>45443</v>
      </c>
      <c r="Q31" s="43" t="str">
        <f t="shared" si="2"/>
        <v>May-24</v>
      </c>
      <c r="R31" s="43">
        <f t="shared" si="3"/>
        <v>1</v>
      </c>
      <c r="S31" s="43">
        <f t="shared" si="4"/>
        <v>18</v>
      </c>
      <c r="T31" s="43">
        <f t="shared" ca="1" si="5"/>
        <v>891</v>
      </c>
      <c r="U31" s="43" t="str">
        <f t="shared" si="6"/>
        <v>EM</v>
      </c>
      <c r="V31" s="43" t="str">
        <f t="shared" si="7"/>
        <v>BLE</v>
      </c>
      <c r="W31" s="43" t="str">
        <f t="shared" si="8"/>
        <v>E-2405-241</v>
      </c>
      <c r="X31" s="43" t="str">
        <f>IF(COUNTIF($D$2:D31,D31)&gt;1,"Repeat","First")</f>
        <v>First</v>
      </c>
      <c r="Y31" s="43" t="str">
        <f>IF(AND(K31=Filter!$B$4,N31&gt;=Filter!$B$5),MAX(Y$1:Y30)+1,"")</f>
        <v/>
      </c>
      <c r="Z31" s="43" t="str">
        <f t="shared" si="9"/>
        <v>2024-05</v>
      </c>
    </row>
    <row r="32" spans="1:26" x14ac:dyDescent="0.2">
      <c r="A32" s="43" t="s">
        <v>226</v>
      </c>
      <c r="B32" s="44">
        <v>45427</v>
      </c>
      <c r="C32" s="43" t="s">
        <v>163</v>
      </c>
      <c r="D32" s="43" t="s">
        <v>164</v>
      </c>
      <c r="E32" s="43" t="s">
        <v>227</v>
      </c>
      <c r="F32" s="43" t="s">
        <v>91</v>
      </c>
      <c r="G32" s="43" t="s">
        <v>72</v>
      </c>
      <c r="H32" s="43">
        <v>5</v>
      </c>
      <c r="I32" s="45">
        <v>199.99</v>
      </c>
      <c r="J32" s="43" t="s">
        <v>63</v>
      </c>
      <c r="K32" s="43" t="s">
        <v>76</v>
      </c>
      <c r="L32" s="43" t="s">
        <v>149</v>
      </c>
      <c r="M32" s="44">
        <v>44412</v>
      </c>
      <c r="N32" s="45">
        <v>999.95</v>
      </c>
      <c r="O32" s="43" t="str">
        <f t="shared" si="0"/>
        <v>OK</v>
      </c>
      <c r="P32" s="44">
        <f t="shared" si="1"/>
        <v>45443</v>
      </c>
      <c r="Q32" s="43" t="str">
        <f t="shared" si="2"/>
        <v>May-24</v>
      </c>
      <c r="R32" s="43">
        <f t="shared" si="3"/>
        <v>2</v>
      </c>
      <c r="S32" s="43">
        <f t="shared" si="4"/>
        <v>33</v>
      </c>
      <c r="T32" s="43">
        <f t="shared" ca="1" si="5"/>
        <v>891</v>
      </c>
      <c r="U32" s="43" t="str">
        <f t="shared" si="6"/>
        <v>CA</v>
      </c>
      <c r="V32" s="43" t="str">
        <f t="shared" si="7"/>
        <v>OFF</v>
      </c>
      <c r="W32" s="43" t="str">
        <f t="shared" si="8"/>
        <v>S-2405-029</v>
      </c>
      <c r="X32" s="43" t="str">
        <f>IF(COUNTIF($D$2:D32,D32)&gt;1,"Repeat","First")</f>
        <v>Repeat</v>
      </c>
      <c r="Y32" s="43" t="str">
        <f>IF(AND(K32=Filter!$B$4,N32&gt;=Filter!$B$5),MAX(Y$1:Y31)+1,"")</f>
        <v/>
      </c>
      <c r="Z32" s="43" t="str">
        <f t="shared" si="9"/>
        <v>2024-05</v>
      </c>
    </row>
    <row r="33" spans="1:26" x14ac:dyDescent="0.2">
      <c r="A33" s="43" t="s">
        <v>228</v>
      </c>
      <c r="B33" s="44">
        <v>45428</v>
      </c>
      <c r="C33" s="43" t="s">
        <v>229</v>
      </c>
      <c r="D33" s="43" t="s">
        <v>230</v>
      </c>
      <c r="E33" s="43" t="s">
        <v>156</v>
      </c>
      <c r="F33" s="43" t="s">
        <v>70</v>
      </c>
      <c r="G33" s="43" t="s">
        <v>72</v>
      </c>
      <c r="H33" s="43">
        <v>2</v>
      </c>
      <c r="I33" s="45">
        <v>149.99</v>
      </c>
      <c r="J33" s="43" t="s">
        <v>68</v>
      </c>
      <c r="K33" s="43" t="s">
        <v>81</v>
      </c>
      <c r="L33" s="43" t="s">
        <v>140</v>
      </c>
      <c r="M33" s="44">
        <v>44823</v>
      </c>
      <c r="N33" s="45">
        <v>299.98</v>
      </c>
      <c r="O33" s="43" t="str">
        <f t="shared" si="0"/>
        <v>OK</v>
      </c>
      <c r="P33" s="44">
        <f t="shared" si="1"/>
        <v>45443</v>
      </c>
      <c r="Q33" s="43" t="str">
        <f t="shared" si="2"/>
        <v>May-24</v>
      </c>
      <c r="R33" s="43">
        <f t="shared" si="3"/>
        <v>1</v>
      </c>
      <c r="S33" s="43">
        <f t="shared" si="4"/>
        <v>19</v>
      </c>
      <c r="T33" s="43">
        <f t="shared" ca="1" si="5"/>
        <v>890</v>
      </c>
      <c r="U33" s="43" t="str">
        <f t="shared" si="6"/>
        <v>LA</v>
      </c>
      <c r="V33" s="43" t="str">
        <f t="shared" si="7"/>
        <v>BOO</v>
      </c>
      <c r="W33" s="43" t="str">
        <f t="shared" si="8"/>
        <v>W-2405-194</v>
      </c>
      <c r="X33" s="43" t="str">
        <f>IF(COUNTIF($D$2:D33,D33)&gt;1,"Repeat","First")</f>
        <v>First</v>
      </c>
      <c r="Y33" s="43" t="str">
        <f>IF(AND(K33=Filter!$B$4,N33&gt;=Filter!$B$5),MAX(Y$1:Y32)+1,"")</f>
        <v/>
      </c>
      <c r="Z33" s="43" t="str">
        <f t="shared" si="9"/>
        <v>2024-05</v>
      </c>
    </row>
    <row r="34" spans="1:26" x14ac:dyDescent="0.2">
      <c r="A34" s="43" t="s">
        <v>231</v>
      </c>
      <c r="B34" s="44">
        <v>45430</v>
      </c>
      <c r="C34" s="43" t="s">
        <v>232</v>
      </c>
      <c r="D34" s="43" t="s">
        <v>233</v>
      </c>
      <c r="E34" s="43" t="s">
        <v>156</v>
      </c>
      <c r="F34" s="43" t="s">
        <v>70</v>
      </c>
      <c r="G34" s="43" t="s">
        <v>72</v>
      </c>
      <c r="H34" s="43">
        <v>3</v>
      </c>
      <c r="I34" s="45">
        <v>149.99</v>
      </c>
      <c r="J34" s="43" t="s">
        <v>68</v>
      </c>
      <c r="K34" s="43" t="s">
        <v>81</v>
      </c>
      <c r="L34" s="43" t="s">
        <v>144</v>
      </c>
      <c r="M34" s="44">
        <v>45068</v>
      </c>
      <c r="N34" s="45">
        <v>449.97</v>
      </c>
      <c r="O34" s="43" t="str">
        <f t="shared" si="0"/>
        <v>OK</v>
      </c>
      <c r="P34" s="44">
        <f t="shared" si="1"/>
        <v>45443</v>
      </c>
      <c r="Q34" s="43" t="str">
        <f t="shared" si="2"/>
        <v>May-24</v>
      </c>
      <c r="R34" s="43">
        <f t="shared" si="3"/>
        <v>0</v>
      </c>
      <c r="S34" s="43">
        <f t="shared" si="4"/>
        <v>11</v>
      </c>
      <c r="T34" s="43">
        <f t="shared" ca="1" si="5"/>
        <v>888</v>
      </c>
      <c r="U34" s="43" t="str">
        <f t="shared" si="6"/>
        <v>EW</v>
      </c>
      <c r="V34" s="43" t="str">
        <f t="shared" si="7"/>
        <v>BOO</v>
      </c>
      <c r="W34" s="43" t="str">
        <f t="shared" si="8"/>
        <v>W-2405-130</v>
      </c>
      <c r="X34" s="43" t="str">
        <f>IF(COUNTIF($D$2:D34,D34)&gt;1,"Repeat","First")</f>
        <v>First</v>
      </c>
      <c r="Y34" s="43" t="str">
        <f>IF(AND(K34=Filter!$B$4,N34&gt;=Filter!$B$5),MAX(Y$1:Y33)+1,"")</f>
        <v/>
      </c>
      <c r="Z34" s="43" t="str">
        <f t="shared" si="9"/>
        <v>2024-05</v>
      </c>
    </row>
    <row r="35" spans="1:26" x14ac:dyDescent="0.2">
      <c r="A35" s="43" t="s">
        <v>234</v>
      </c>
      <c r="B35" s="44">
        <v>45432</v>
      </c>
      <c r="C35" s="43" t="s">
        <v>146</v>
      </c>
      <c r="D35" s="43" t="s">
        <v>147</v>
      </c>
      <c r="E35" s="43" t="s">
        <v>168</v>
      </c>
      <c r="F35" s="43" t="s">
        <v>87</v>
      </c>
      <c r="G35" s="43" t="s">
        <v>67</v>
      </c>
      <c r="H35" s="43">
        <v>1</v>
      </c>
      <c r="I35" s="45">
        <v>899.99</v>
      </c>
      <c r="J35" s="43" t="s">
        <v>68</v>
      </c>
      <c r="K35" s="43" t="s">
        <v>81</v>
      </c>
      <c r="L35" s="43" t="s">
        <v>144</v>
      </c>
      <c r="M35" s="44">
        <v>44578</v>
      </c>
      <c r="N35" s="45">
        <v>899.99</v>
      </c>
      <c r="O35" s="43" t="str">
        <f t="shared" si="0"/>
        <v>OK</v>
      </c>
      <c r="P35" s="44">
        <f t="shared" si="1"/>
        <v>45443</v>
      </c>
      <c r="Q35" s="43" t="str">
        <f t="shared" si="2"/>
        <v>May-24</v>
      </c>
      <c r="R35" s="43">
        <f t="shared" si="3"/>
        <v>2</v>
      </c>
      <c r="S35" s="43">
        <f t="shared" si="4"/>
        <v>28</v>
      </c>
      <c r="T35" s="43">
        <f t="shared" ca="1" si="5"/>
        <v>886</v>
      </c>
      <c r="U35" s="43" t="str">
        <f t="shared" si="6"/>
        <v>KS</v>
      </c>
      <c r="V35" s="43" t="str">
        <f t="shared" si="7"/>
        <v>LAP</v>
      </c>
      <c r="W35" s="43" t="str">
        <f t="shared" si="8"/>
        <v>W-2405-041</v>
      </c>
      <c r="X35" s="43" t="str">
        <f>IF(COUNTIF($D$2:D35,D35)&gt;1,"Repeat","First")</f>
        <v>Repeat</v>
      </c>
      <c r="Y35" s="43" t="str">
        <f>IF(AND(K35=Filter!$B$4,N35&gt;=Filter!$B$5),MAX(Y$1:Y34)+1,"")</f>
        <v/>
      </c>
      <c r="Z35" s="43" t="str">
        <f t="shared" si="9"/>
        <v>2024-05</v>
      </c>
    </row>
    <row r="36" spans="1:26" x14ac:dyDescent="0.2">
      <c r="A36" s="43" t="s">
        <v>235</v>
      </c>
      <c r="B36" s="44">
        <v>45434</v>
      </c>
      <c r="C36" s="43" t="s">
        <v>203</v>
      </c>
      <c r="D36" s="43" t="s">
        <v>204</v>
      </c>
      <c r="E36" s="43" t="s">
        <v>209</v>
      </c>
      <c r="F36" s="43" t="s">
        <v>80</v>
      </c>
      <c r="G36" s="43" t="s">
        <v>72</v>
      </c>
      <c r="H36" s="43">
        <v>3</v>
      </c>
      <c r="I36" s="45">
        <v>299.99</v>
      </c>
      <c r="J36" s="43" t="s">
        <v>68</v>
      </c>
      <c r="K36" s="43" t="s">
        <v>66</v>
      </c>
      <c r="L36" s="43" t="s">
        <v>140</v>
      </c>
      <c r="M36" s="44">
        <v>44824</v>
      </c>
      <c r="N36" s="45">
        <v>899.97</v>
      </c>
      <c r="O36" s="43" t="str">
        <f t="shared" si="0"/>
        <v>OK</v>
      </c>
      <c r="P36" s="44">
        <f t="shared" si="1"/>
        <v>45443</v>
      </c>
      <c r="Q36" s="43" t="str">
        <f t="shared" si="2"/>
        <v>May-24</v>
      </c>
      <c r="R36" s="43">
        <f t="shared" si="3"/>
        <v>1</v>
      </c>
      <c r="S36" s="43">
        <f t="shared" si="4"/>
        <v>20</v>
      </c>
      <c r="T36" s="43">
        <f t="shared" ca="1" si="5"/>
        <v>884</v>
      </c>
      <c r="U36" s="43" t="str">
        <f t="shared" si="6"/>
        <v>PM</v>
      </c>
      <c r="V36" s="43" t="str">
        <f t="shared" si="7"/>
        <v>DES</v>
      </c>
      <c r="W36" s="43" t="str">
        <f t="shared" si="8"/>
        <v>E-2405-232</v>
      </c>
      <c r="X36" s="43" t="str">
        <f>IF(COUNTIF($D$2:D36,D36)&gt;1,"Repeat","First")</f>
        <v>Repeat</v>
      </c>
      <c r="Y36" s="43" t="str">
        <f>IF(AND(K36=Filter!$B$4,N36&gt;=Filter!$B$5),MAX(Y$1:Y35)+1,"")</f>
        <v/>
      </c>
      <c r="Z36" s="43" t="str">
        <f t="shared" si="9"/>
        <v>2024-05</v>
      </c>
    </row>
    <row r="37" spans="1:26" x14ac:dyDescent="0.2">
      <c r="A37" s="43" t="s">
        <v>236</v>
      </c>
      <c r="B37" s="44">
        <v>45435</v>
      </c>
      <c r="C37" s="43" t="s">
        <v>229</v>
      </c>
      <c r="D37" s="43" t="s">
        <v>230</v>
      </c>
      <c r="E37" s="43" t="s">
        <v>217</v>
      </c>
      <c r="F37" s="43" t="s">
        <v>75</v>
      </c>
      <c r="G37" s="43" t="s">
        <v>62</v>
      </c>
      <c r="H37" s="43">
        <v>3</v>
      </c>
      <c r="I37" s="45">
        <v>79.989999999999995</v>
      </c>
      <c r="J37" s="43" t="s">
        <v>63</v>
      </c>
      <c r="K37" s="43" t="s">
        <v>76</v>
      </c>
      <c r="L37" s="43" t="s">
        <v>140</v>
      </c>
      <c r="M37" s="44">
        <v>45046</v>
      </c>
      <c r="N37" s="45">
        <v>239.97</v>
      </c>
      <c r="O37" s="43" t="str">
        <f t="shared" si="0"/>
        <v>OK</v>
      </c>
      <c r="P37" s="44">
        <f t="shared" si="1"/>
        <v>45443</v>
      </c>
      <c r="Q37" s="43" t="str">
        <f t="shared" si="2"/>
        <v>May-24</v>
      </c>
      <c r="R37" s="43">
        <f t="shared" si="3"/>
        <v>1</v>
      </c>
      <c r="S37" s="43">
        <f t="shared" si="4"/>
        <v>12</v>
      </c>
      <c r="T37" s="43">
        <f t="shared" ca="1" si="5"/>
        <v>883</v>
      </c>
      <c r="U37" s="43" t="str">
        <f t="shared" si="6"/>
        <v>LA</v>
      </c>
      <c r="V37" s="43" t="str">
        <f t="shared" si="7"/>
        <v>COF</v>
      </c>
      <c r="W37" s="43" t="str">
        <f t="shared" si="8"/>
        <v>S-2405-021</v>
      </c>
      <c r="X37" s="43" t="str">
        <f>IF(COUNTIF($D$2:D37,D37)&gt;1,"Repeat","First")</f>
        <v>Repeat</v>
      </c>
      <c r="Y37" s="43" t="str">
        <f>IF(AND(K37=Filter!$B$4,N37&gt;=Filter!$B$5),MAX(Y$1:Y36)+1,"")</f>
        <v/>
      </c>
      <c r="Z37" s="43" t="str">
        <f t="shared" si="9"/>
        <v>2024-05</v>
      </c>
    </row>
    <row r="38" spans="1:26" x14ac:dyDescent="0.2">
      <c r="A38" s="43" t="s">
        <v>237</v>
      </c>
      <c r="B38" s="44">
        <v>45438</v>
      </c>
      <c r="C38" s="43" t="s">
        <v>238</v>
      </c>
      <c r="D38" s="43" t="s">
        <v>239</v>
      </c>
      <c r="E38" s="43" t="s">
        <v>227</v>
      </c>
      <c r="F38" s="43" t="s">
        <v>91</v>
      </c>
      <c r="G38" s="43" t="s">
        <v>72</v>
      </c>
      <c r="H38" s="43">
        <v>3</v>
      </c>
      <c r="I38" s="45">
        <v>199.99</v>
      </c>
      <c r="J38" s="43" t="s">
        <v>68</v>
      </c>
      <c r="K38" s="43" t="s">
        <v>71</v>
      </c>
      <c r="L38" s="43" t="s">
        <v>144</v>
      </c>
      <c r="M38" s="44">
        <v>45292</v>
      </c>
      <c r="N38" s="45">
        <v>599.97</v>
      </c>
      <c r="O38" s="43" t="str">
        <f t="shared" si="0"/>
        <v>OK</v>
      </c>
      <c r="P38" s="44">
        <f t="shared" si="1"/>
        <v>45443</v>
      </c>
      <c r="Q38" s="43" t="str">
        <f t="shared" si="2"/>
        <v>May-24</v>
      </c>
      <c r="R38" s="43">
        <f t="shared" si="3"/>
        <v>0</v>
      </c>
      <c r="S38" s="43">
        <f t="shared" si="4"/>
        <v>4</v>
      </c>
      <c r="T38" s="43">
        <f t="shared" ca="1" si="5"/>
        <v>880</v>
      </c>
      <c r="U38" s="43" t="str">
        <f t="shared" si="6"/>
        <v>ST</v>
      </c>
      <c r="V38" s="43" t="str">
        <f t="shared" si="7"/>
        <v>OFF</v>
      </c>
      <c r="W38" s="43" t="str">
        <f t="shared" si="8"/>
        <v>N-2405-245</v>
      </c>
      <c r="X38" s="43" t="str">
        <f>IF(COUNTIF($D$2:D38,D38)&gt;1,"Repeat","First")</f>
        <v>First</v>
      </c>
      <c r="Y38" s="43" t="str">
        <f>IF(AND(K38=Filter!$B$4,N38&gt;=Filter!$B$5),MAX(Y$1:Y37)+1,"")</f>
        <v/>
      </c>
      <c r="Z38" s="43" t="str">
        <f t="shared" si="9"/>
        <v>2024-05</v>
      </c>
    </row>
    <row r="39" spans="1:26" x14ac:dyDescent="0.2">
      <c r="A39" s="43" t="s">
        <v>240</v>
      </c>
      <c r="B39" s="44">
        <v>45440</v>
      </c>
      <c r="C39" s="43" t="s">
        <v>241</v>
      </c>
      <c r="D39" s="43" t="s">
        <v>242</v>
      </c>
      <c r="E39" s="43" t="s">
        <v>185</v>
      </c>
      <c r="F39" s="43" t="s">
        <v>93</v>
      </c>
      <c r="G39" s="43" t="s">
        <v>67</v>
      </c>
      <c r="H39" s="43">
        <v>5</v>
      </c>
      <c r="I39" s="45">
        <v>699.99</v>
      </c>
      <c r="J39" s="43" t="s">
        <v>78</v>
      </c>
      <c r="K39" s="43" t="s">
        <v>81</v>
      </c>
      <c r="L39" s="43" t="s">
        <v>149</v>
      </c>
      <c r="M39" s="44">
        <v>44407</v>
      </c>
      <c r="N39" s="45">
        <v>3499.95</v>
      </c>
      <c r="O39" s="43" t="str">
        <f t="shared" si="0"/>
        <v>OK</v>
      </c>
      <c r="P39" s="44">
        <f t="shared" si="1"/>
        <v>45443</v>
      </c>
      <c r="Q39" s="43" t="str">
        <f t="shared" si="2"/>
        <v>May-24</v>
      </c>
      <c r="R39" s="43">
        <f t="shared" si="3"/>
        <v>2</v>
      </c>
      <c r="S39" s="43">
        <f t="shared" si="4"/>
        <v>33</v>
      </c>
      <c r="T39" s="43">
        <f t="shared" ca="1" si="5"/>
        <v>878</v>
      </c>
      <c r="U39" s="43" t="str">
        <f t="shared" si="6"/>
        <v>JT</v>
      </c>
      <c r="V39" s="43" t="str">
        <f t="shared" si="7"/>
        <v>SMA</v>
      </c>
      <c r="W39" s="43" t="str">
        <f t="shared" si="8"/>
        <v>W-2405-015</v>
      </c>
      <c r="X39" s="43" t="str">
        <f>IF(COUNTIF($D$2:D39,D39)&gt;1,"Repeat","First")</f>
        <v>First</v>
      </c>
      <c r="Y39" s="43">
        <f>IF(AND(K39=Filter!$B$4,N39&gt;=Filter!$B$5),MAX(Y$1:Y38)+1,"")</f>
        <v>6</v>
      </c>
      <c r="Z39" s="43" t="str">
        <f t="shared" si="9"/>
        <v>2024-05</v>
      </c>
    </row>
    <row r="40" spans="1:26" x14ac:dyDescent="0.2">
      <c r="A40" s="43" t="s">
        <v>243</v>
      </c>
      <c r="B40" s="44">
        <v>45441</v>
      </c>
      <c r="C40" s="43" t="s">
        <v>244</v>
      </c>
      <c r="D40" s="43" t="s">
        <v>245</v>
      </c>
      <c r="E40" s="43" t="s">
        <v>219</v>
      </c>
      <c r="F40" s="43" t="s">
        <v>85</v>
      </c>
      <c r="G40" s="43" t="s">
        <v>67</v>
      </c>
      <c r="H40" s="43">
        <v>3</v>
      </c>
      <c r="I40" s="45">
        <v>89.99</v>
      </c>
      <c r="J40" s="43" t="s">
        <v>78</v>
      </c>
      <c r="K40" s="43" t="s">
        <v>61</v>
      </c>
      <c r="L40" s="43" t="s">
        <v>144</v>
      </c>
      <c r="M40" s="44">
        <v>45120</v>
      </c>
      <c r="N40" s="45">
        <v>269.97000000000003</v>
      </c>
      <c r="O40" s="43" t="str">
        <f t="shared" si="0"/>
        <v>OK</v>
      </c>
      <c r="P40" s="44">
        <f t="shared" si="1"/>
        <v>45443</v>
      </c>
      <c r="Q40" s="43" t="str">
        <f t="shared" si="2"/>
        <v>May-24</v>
      </c>
      <c r="R40" s="43">
        <f t="shared" si="3"/>
        <v>0</v>
      </c>
      <c r="S40" s="43">
        <f t="shared" si="4"/>
        <v>10</v>
      </c>
      <c r="T40" s="43">
        <f t="shared" ca="1" si="5"/>
        <v>877</v>
      </c>
      <c r="U40" s="43" t="str">
        <f t="shared" si="6"/>
        <v>HM</v>
      </c>
      <c r="V40" s="43" t="str">
        <f t="shared" si="7"/>
        <v>KEY</v>
      </c>
      <c r="W40" s="43" t="str">
        <f t="shared" si="8"/>
        <v>C-2405-202</v>
      </c>
      <c r="X40" s="43" t="str">
        <f>IF(COUNTIF($D$2:D40,D40)&gt;1,"Repeat","First")</f>
        <v>First</v>
      </c>
      <c r="Y40" s="43" t="str">
        <f>IF(AND(K40=Filter!$B$4,N40&gt;=Filter!$B$5),MAX(Y$1:Y39)+1,"")</f>
        <v/>
      </c>
      <c r="Z40" s="43" t="str">
        <f t="shared" si="9"/>
        <v>2024-05</v>
      </c>
    </row>
    <row r="41" spans="1:26" x14ac:dyDescent="0.2">
      <c r="A41" s="43" t="s">
        <v>246</v>
      </c>
      <c r="B41" s="44">
        <v>45443</v>
      </c>
      <c r="C41" s="43" t="s">
        <v>247</v>
      </c>
      <c r="D41" s="43" t="s">
        <v>248</v>
      </c>
      <c r="E41" s="43" t="s">
        <v>217</v>
      </c>
      <c r="F41" s="43" t="s">
        <v>75</v>
      </c>
      <c r="G41" s="43" t="s">
        <v>62</v>
      </c>
      <c r="H41" s="43">
        <v>1</v>
      </c>
      <c r="I41" s="45">
        <v>79.989999999999995</v>
      </c>
      <c r="J41" s="43" t="s">
        <v>63</v>
      </c>
      <c r="K41" s="43" t="s">
        <v>71</v>
      </c>
      <c r="L41" s="43" t="s">
        <v>149</v>
      </c>
      <c r="M41" s="44">
        <v>44917</v>
      </c>
      <c r="N41" s="45">
        <v>79.989999999999995</v>
      </c>
      <c r="O41" s="43" t="str">
        <f t="shared" si="0"/>
        <v>OK</v>
      </c>
      <c r="P41" s="44">
        <f t="shared" si="1"/>
        <v>45443</v>
      </c>
      <c r="Q41" s="43" t="str">
        <f t="shared" si="2"/>
        <v>May-24</v>
      </c>
      <c r="R41" s="43">
        <f t="shared" si="3"/>
        <v>1</v>
      </c>
      <c r="S41" s="43">
        <f t="shared" si="4"/>
        <v>17</v>
      </c>
      <c r="T41" s="43">
        <f t="shared" ca="1" si="5"/>
        <v>875</v>
      </c>
      <c r="U41" s="43" t="str">
        <f t="shared" si="6"/>
        <v>DK</v>
      </c>
      <c r="V41" s="43" t="str">
        <f t="shared" si="7"/>
        <v>COF</v>
      </c>
      <c r="W41" s="43" t="str">
        <f t="shared" si="8"/>
        <v>N-2405-042</v>
      </c>
      <c r="X41" s="43" t="str">
        <f>IF(COUNTIF($D$2:D41,D41)&gt;1,"Repeat","First")</f>
        <v>First</v>
      </c>
      <c r="Y41" s="43" t="str">
        <f>IF(AND(K41=Filter!$B$4,N41&gt;=Filter!$B$5),MAX(Y$1:Y40)+1,"")</f>
        <v/>
      </c>
      <c r="Z41" s="43" t="str">
        <f t="shared" si="9"/>
        <v>2024-05</v>
      </c>
    </row>
    <row r="42" spans="1:26" x14ac:dyDescent="0.2">
      <c r="A42" s="43" t="s">
        <v>249</v>
      </c>
      <c r="B42" s="44">
        <v>45444</v>
      </c>
      <c r="C42" s="43" t="s">
        <v>250</v>
      </c>
      <c r="D42" s="43" t="s">
        <v>251</v>
      </c>
      <c r="E42" s="43" t="s">
        <v>148</v>
      </c>
      <c r="F42" s="43" t="s">
        <v>65</v>
      </c>
      <c r="G42" s="43" t="s">
        <v>62</v>
      </c>
      <c r="H42" s="43">
        <v>2</v>
      </c>
      <c r="I42" s="45">
        <v>59.99</v>
      </c>
      <c r="J42" s="43" t="s">
        <v>63</v>
      </c>
      <c r="K42" s="43" t="s">
        <v>81</v>
      </c>
      <c r="L42" s="43" t="s">
        <v>140</v>
      </c>
      <c r="M42" s="44">
        <v>45390</v>
      </c>
      <c r="N42" s="45">
        <v>119.98</v>
      </c>
      <c r="O42" s="43" t="str">
        <f t="shared" si="0"/>
        <v>OK</v>
      </c>
      <c r="P42" s="44">
        <f t="shared" si="1"/>
        <v>45473</v>
      </c>
      <c r="Q42" s="43" t="str">
        <f t="shared" si="2"/>
        <v>Jun-24</v>
      </c>
      <c r="R42" s="43">
        <f t="shared" si="3"/>
        <v>0</v>
      </c>
      <c r="S42" s="43">
        <f t="shared" si="4"/>
        <v>1</v>
      </c>
      <c r="T42" s="43">
        <f t="shared" ca="1" si="5"/>
        <v>874</v>
      </c>
      <c r="U42" s="43" t="str">
        <f t="shared" si="6"/>
        <v>SB</v>
      </c>
      <c r="V42" s="43" t="str">
        <f t="shared" si="7"/>
        <v>BLE</v>
      </c>
      <c r="W42" s="43" t="str">
        <f t="shared" si="8"/>
        <v>W-2406-128</v>
      </c>
      <c r="X42" s="43" t="str">
        <f>IF(COUNTIF($D$2:D42,D42)&gt;1,"Repeat","First")</f>
        <v>First</v>
      </c>
      <c r="Y42" s="43" t="str">
        <f>IF(AND(K42=Filter!$B$4,N42&gt;=Filter!$B$5),MAX(Y$1:Y41)+1,"")</f>
        <v/>
      </c>
      <c r="Z42" s="43" t="str">
        <f t="shared" si="9"/>
        <v>2024-06</v>
      </c>
    </row>
    <row r="43" spans="1:26" x14ac:dyDescent="0.2">
      <c r="A43" s="43" t="s">
        <v>252</v>
      </c>
      <c r="B43" s="44">
        <v>45444</v>
      </c>
      <c r="C43" s="43" t="s">
        <v>163</v>
      </c>
      <c r="D43" s="43" t="s">
        <v>164</v>
      </c>
      <c r="E43" s="43" t="s">
        <v>219</v>
      </c>
      <c r="F43" s="43" t="s">
        <v>85</v>
      </c>
      <c r="G43" s="43" t="s">
        <v>67</v>
      </c>
      <c r="H43" s="43">
        <v>1</v>
      </c>
      <c r="I43" s="45">
        <v>89.99</v>
      </c>
      <c r="J43" s="43" t="s">
        <v>63</v>
      </c>
      <c r="K43" s="43" t="s">
        <v>71</v>
      </c>
      <c r="L43" s="43" t="s">
        <v>140</v>
      </c>
      <c r="M43" s="44">
        <v>45141</v>
      </c>
      <c r="N43" s="45">
        <v>89.99</v>
      </c>
      <c r="O43" s="43" t="str">
        <f t="shared" si="0"/>
        <v>OK</v>
      </c>
      <c r="P43" s="44">
        <f t="shared" si="1"/>
        <v>45473</v>
      </c>
      <c r="Q43" s="43" t="str">
        <f t="shared" si="2"/>
        <v>Jun-24</v>
      </c>
      <c r="R43" s="43">
        <f t="shared" si="3"/>
        <v>0</v>
      </c>
      <c r="S43" s="43">
        <f t="shared" si="4"/>
        <v>9</v>
      </c>
      <c r="T43" s="43">
        <f t="shared" ca="1" si="5"/>
        <v>874</v>
      </c>
      <c r="U43" s="43" t="str">
        <f t="shared" si="6"/>
        <v>CA</v>
      </c>
      <c r="V43" s="43" t="str">
        <f t="shared" si="7"/>
        <v>KEY</v>
      </c>
      <c r="W43" s="43" t="str">
        <f t="shared" si="8"/>
        <v>N-2406-117</v>
      </c>
      <c r="X43" s="43" t="str">
        <f>IF(COUNTIF($D$2:D43,D43)&gt;1,"Repeat","First")</f>
        <v>Repeat</v>
      </c>
      <c r="Y43" s="43" t="str">
        <f>IF(AND(K43=Filter!$B$4,N43&gt;=Filter!$B$5),MAX(Y$1:Y42)+1,"")</f>
        <v/>
      </c>
      <c r="Z43" s="43" t="str">
        <f t="shared" si="9"/>
        <v>2024-06</v>
      </c>
    </row>
    <row r="44" spans="1:26" x14ac:dyDescent="0.2">
      <c r="A44" s="43" t="s">
        <v>253</v>
      </c>
      <c r="B44" s="44">
        <v>45446</v>
      </c>
      <c r="C44" s="43" t="s">
        <v>254</v>
      </c>
      <c r="D44" s="43" t="s">
        <v>255</v>
      </c>
      <c r="E44" s="43" t="s">
        <v>219</v>
      </c>
      <c r="F44" s="43" t="s">
        <v>85</v>
      </c>
      <c r="G44" s="43" t="s">
        <v>67</v>
      </c>
      <c r="H44" s="43">
        <v>5</v>
      </c>
      <c r="I44" s="45">
        <v>89.99</v>
      </c>
      <c r="J44" s="43" t="s">
        <v>68</v>
      </c>
      <c r="K44" s="43" t="s">
        <v>66</v>
      </c>
      <c r="L44" s="43" t="s">
        <v>149</v>
      </c>
      <c r="M44" s="44">
        <v>44587</v>
      </c>
      <c r="N44" s="45">
        <v>449.95</v>
      </c>
      <c r="O44" s="43" t="str">
        <f t="shared" si="0"/>
        <v>OK</v>
      </c>
      <c r="P44" s="44">
        <f t="shared" si="1"/>
        <v>45473</v>
      </c>
      <c r="Q44" s="43" t="str">
        <f t="shared" si="2"/>
        <v>Jun-24</v>
      </c>
      <c r="R44" s="43">
        <f t="shared" si="3"/>
        <v>2</v>
      </c>
      <c r="S44" s="43">
        <f t="shared" si="4"/>
        <v>28</v>
      </c>
      <c r="T44" s="43">
        <f t="shared" ca="1" si="5"/>
        <v>872</v>
      </c>
      <c r="U44" s="43" t="str">
        <f t="shared" si="6"/>
        <v>SD</v>
      </c>
      <c r="V44" s="43" t="str">
        <f t="shared" si="7"/>
        <v>KEY</v>
      </c>
      <c r="W44" s="43" t="str">
        <f t="shared" si="8"/>
        <v>E-2406-208</v>
      </c>
      <c r="X44" s="43" t="str">
        <f>IF(COUNTIF($D$2:D44,D44)&gt;1,"Repeat","First")</f>
        <v>First</v>
      </c>
      <c r="Y44" s="43" t="str">
        <f>IF(AND(K44=Filter!$B$4,N44&gt;=Filter!$B$5),MAX(Y$1:Y43)+1,"")</f>
        <v/>
      </c>
      <c r="Z44" s="43" t="str">
        <f t="shared" si="9"/>
        <v>2024-06</v>
      </c>
    </row>
    <row r="45" spans="1:26" x14ac:dyDescent="0.2">
      <c r="A45" s="43" t="s">
        <v>256</v>
      </c>
      <c r="B45" s="44">
        <v>45449</v>
      </c>
      <c r="C45" s="43" t="s">
        <v>142</v>
      </c>
      <c r="D45" s="43" t="s">
        <v>143</v>
      </c>
      <c r="E45" s="43" t="s">
        <v>139</v>
      </c>
      <c r="F45" s="43" t="s">
        <v>89</v>
      </c>
      <c r="G45" s="43" t="s">
        <v>67</v>
      </c>
      <c r="H45" s="43">
        <v>5</v>
      </c>
      <c r="I45" s="45">
        <v>249.99</v>
      </c>
      <c r="J45" s="43" t="s">
        <v>68</v>
      </c>
      <c r="K45" s="43" t="s">
        <v>66</v>
      </c>
      <c r="L45" s="43" t="s">
        <v>149</v>
      </c>
      <c r="M45" s="44">
        <v>44707</v>
      </c>
      <c r="N45" s="45">
        <v>1249.95</v>
      </c>
      <c r="O45" s="43" t="str">
        <f t="shared" si="0"/>
        <v>OK</v>
      </c>
      <c r="P45" s="44">
        <f t="shared" si="1"/>
        <v>45473</v>
      </c>
      <c r="Q45" s="43" t="str">
        <f t="shared" si="2"/>
        <v>Jun-24</v>
      </c>
      <c r="R45" s="43">
        <f t="shared" si="3"/>
        <v>2</v>
      </c>
      <c r="S45" s="43">
        <f t="shared" si="4"/>
        <v>24</v>
      </c>
      <c r="T45" s="43">
        <f t="shared" ca="1" si="5"/>
        <v>869</v>
      </c>
      <c r="U45" s="43" t="str">
        <f t="shared" si="6"/>
        <v>JJ</v>
      </c>
      <c r="V45" s="43" t="str">
        <f t="shared" si="7"/>
        <v>MON</v>
      </c>
      <c r="W45" s="43" t="str">
        <f t="shared" si="8"/>
        <v>E-2406-234</v>
      </c>
      <c r="X45" s="43" t="str">
        <f>IF(COUNTIF($D$2:D45,D45)&gt;1,"Repeat","First")</f>
        <v>Repeat</v>
      </c>
      <c r="Y45" s="43" t="str">
        <f>IF(AND(K45=Filter!$B$4,N45&gt;=Filter!$B$5),MAX(Y$1:Y44)+1,"")</f>
        <v/>
      </c>
      <c r="Z45" s="43" t="str">
        <f t="shared" si="9"/>
        <v>2024-06</v>
      </c>
    </row>
    <row r="46" spans="1:26" x14ac:dyDescent="0.2">
      <c r="A46" s="43" t="s">
        <v>257</v>
      </c>
      <c r="B46" s="44">
        <v>45449</v>
      </c>
      <c r="C46" s="43" t="s">
        <v>258</v>
      </c>
      <c r="D46" s="43" t="s">
        <v>259</v>
      </c>
      <c r="E46" s="43" t="s">
        <v>219</v>
      </c>
      <c r="F46" s="43" t="s">
        <v>85</v>
      </c>
      <c r="G46" s="43" t="s">
        <v>67</v>
      </c>
      <c r="H46" s="43">
        <v>1</v>
      </c>
      <c r="I46" s="45">
        <v>89.99</v>
      </c>
      <c r="J46" s="43" t="s">
        <v>68</v>
      </c>
      <c r="K46" s="43" t="s">
        <v>76</v>
      </c>
      <c r="L46" s="43" t="s">
        <v>149</v>
      </c>
      <c r="M46" s="44">
        <v>44582</v>
      </c>
      <c r="N46" s="45">
        <v>89.99</v>
      </c>
      <c r="O46" s="43" t="str">
        <f t="shared" si="0"/>
        <v>OK</v>
      </c>
      <c r="P46" s="44">
        <f t="shared" si="1"/>
        <v>45473</v>
      </c>
      <c r="Q46" s="43" t="str">
        <f t="shared" si="2"/>
        <v>Jun-24</v>
      </c>
      <c r="R46" s="43">
        <f t="shared" si="3"/>
        <v>2</v>
      </c>
      <c r="S46" s="43">
        <f t="shared" si="4"/>
        <v>28</v>
      </c>
      <c r="T46" s="43">
        <f t="shared" ca="1" si="5"/>
        <v>869</v>
      </c>
      <c r="U46" s="43" t="str">
        <f t="shared" si="6"/>
        <v>BC</v>
      </c>
      <c r="V46" s="43" t="str">
        <f t="shared" si="7"/>
        <v>KEY</v>
      </c>
      <c r="W46" s="43" t="str">
        <f t="shared" si="8"/>
        <v>S-2406-121</v>
      </c>
      <c r="X46" s="43" t="str">
        <f>IF(COUNTIF($D$2:D46,D46)&gt;1,"Repeat","First")</f>
        <v>First</v>
      </c>
      <c r="Y46" s="43" t="str">
        <f>IF(AND(K46=Filter!$B$4,N46&gt;=Filter!$B$5),MAX(Y$1:Y45)+1,"")</f>
        <v/>
      </c>
      <c r="Z46" s="43" t="str">
        <f t="shared" si="9"/>
        <v>2024-06</v>
      </c>
    </row>
    <row r="47" spans="1:26" x14ac:dyDescent="0.2">
      <c r="A47" s="43" t="s">
        <v>260</v>
      </c>
      <c r="B47" s="44">
        <v>45450</v>
      </c>
      <c r="C47" s="43" t="s">
        <v>154</v>
      </c>
      <c r="D47" s="43" t="s">
        <v>155</v>
      </c>
      <c r="E47" s="43" t="s">
        <v>156</v>
      </c>
      <c r="F47" s="43" t="s">
        <v>70</v>
      </c>
      <c r="G47" s="43" t="s">
        <v>72</v>
      </c>
      <c r="H47" s="43">
        <v>2</v>
      </c>
      <c r="I47" s="45">
        <v>149.99</v>
      </c>
      <c r="J47" s="43" t="s">
        <v>63</v>
      </c>
      <c r="K47" s="43" t="s">
        <v>66</v>
      </c>
      <c r="L47" s="43" t="s">
        <v>144</v>
      </c>
      <c r="M47" s="44">
        <v>44645</v>
      </c>
      <c r="N47" s="45">
        <v>299.98</v>
      </c>
      <c r="O47" s="43" t="str">
        <f t="shared" si="0"/>
        <v>OK</v>
      </c>
      <c r="P47" s="44">
        <f t="shared" si="1"/>
        <v>45473</v>
      </c>
      <c r="Q47" s="43" t="str">
        <f t="shared" si="2"/>
        <v>Jun-24</v>
      </c>
      <c r="R47" s="43">
        <f t="shared" si="3"/>
        <v>2</v>
      </c>
      <c r="S47" s="43">
        <f t="shared" si="4"/>
        <v>26</v>
      </c>
      <c r="T47" s="43">
        <f t="shared" ca="1" si="5"/>
        <v>868</v>
      </c>
      <c r="U47" s="43" t="str">
        <f t="shared" si="6"/>
        <v>MB</v>
      </c>
      <c r="V47" s="43" t="str">
        <f t="shared" si="7"/>
        <v>BOO</v>
      </c>
      <c r="W47" s="43" t="str">
        <f t="shared" si="8"/>
        <v>E-2406-220</v>
      </c>
      <c r="X47" s="43" t="str">
        <f>IF(COUNTIF($D$2:D47,D47)&gt;1,"Repeat","First")</f>
        <v>Repeat</v>
      </c>
      <c r="Y47" s="43" t="str">
        <f>IF(AND(K47=Filter!$B$4,N47&gt;=Filter!$B$5),MAX(Y$1:Y46)+1,"")</f>
        <v/>
      </c>
      <c r="Z47" s="43" t="str">
        <f t="shared" si="9"/>
        <v>2024-06</v>
      </c>
    </row>
    <row r="48" spans="1:26" x14ac:dyDescent="0.2">
      <c r="A48" s="43" t="s">
        <v>261</v>
      </c>
      <c r="B48" s="44">
        <v>45452</v>
      </c>
      <c r="C48" s="43" t="s">
        <v>262</v>
      </c>
      <c r="D48" s="43" t="s">
        <v>263</v>
      </c>
      <c r="E48" s="43" t="s">
        <v>148</v>
      </c>
      <c r="F48" s="43" t="s">
        <v>65</v>
      </c>
      <c r="G48" s="43" t="s">
        <v>62</v>
      </c>
      <c r="H48" s="43">
        <v>4</v>
      </c>
      <c r="I48" s="45">
        <v>59.99</v>
      </c>
      <c r="J48" s="43" t="s">
        <v>63</v>
      </c>
      <c r="K48" s="43" t="s">
        <v>66</v>
      </c>
      <c r="L48" s="43" t="s">
        <v>149</v>
      </c>
      <c r="M48" s="44">
        <v>44435</v>
      </c>
      <c r="N48" s="45">
        <v>239.96</v>
      </c>
      <c r="O48" s="43" t="str">
        <f t="shared" si="0"/>
        <v>OK</v>
      </c>
      <c r="P48" s="44">
        <f t="shared" si="1"/>
        <v>45473</v>
      </c>
      <c r="Q48" s="43" t="str">
        <f t="shared" si="2"/>
        <v>Jun-24</v>
      </c>
      <c r="R48" s="43">
        <f t="shared" si="3"/>
        <v>2</v>
      </c>
      <c r="S48" s="43">
        <f t="shared" si="4"/>
        <v>33</v>
      </c>
      <c r="T48" s="43">
        <f t="shared" ca="1" si="5"/>
        <v>866</v>
      </c>
      <c r="U48" s="43" t="str">
        <f t="shared" si="6"/>
        <v>JF</v>
      </c>
      <c r="V48" s="43" t="str">
        <f t="shared" si="7"/>
        <v>BLE</v>
      </c>
      <c r="W48" s="43" t="str">
        <f t="shared" si="8"/>
        <v>E-2406-093</v>
      </c>
      <c r="X48" s="43" t="str">
        <f>IF(COUNTIF($D$2:D48,D48)&gt;1,"Repeat","First")</f>
        <v>First</v>
      </c>
      <c r="Y48" s="43" t="str">
        <f>IF(AND(K48=Filter!$B$4,N48&gt;=Filter!$B$5),MAX(Y$1:Y47)+1,"")</f>
        <v/>
      </c>
      <c r="Z48" s="43" t="str">
        <f t="shared" si="9"/>
        <v>2024-06</v>
      </c>
    </row>
    <row r="49" spans="1:26" x14ac:dyDescent="0.2">
      <c r="A49" s="43" t="s">
        <v>264</v>
      </c>
      <c r="B49" s="44">
        <v>45456</v>
      </c>
      <c r="C49" s="43" t="s">
        <v>229</v>
      </c>
      <c r="D49" s="43" t="s">
        <v>230</v>
      </c>
      <c r="E49" s="43" t="s">
        <v>219</v>
      </c>
      <c r="F49" s="43" t="s">
        <v>85</v>
      </c>
      <c r="G49" s="43" t="s">
        <v>67</v>
      </c>
      <c r="H49" s="43">
        <v>5</v>
      </c>
      <c r="I49" s="45">
        <v>89.99</v>
      </c>
      <c r="J49" s="43" t="s">
        <v>63</v>
      </c>
      <c r="K49" s="43" t="s">
        <v>61</v>
      </c>
      <c r="L49" s="43" t="s">
        <v>144</v>
      </c>
      <c r="M49" s="44">
        <v>44579</v>
      </c>
      <c r="N49" s="45">
        <v>449.95</v>
      </c>
      <c r="O49" s="43" t="str">
        <f t="shared" si="0"/>
        <v>OK</v>
      </c>
      <c r="P49" s="44">
        <f t="shared" si="1"/>
        <v>45473</v>
      </c>
      <c r="Q49" s="43" t="str">
        <f t="shared" si="2"/>
        <v>Jun-24</v>
      </c>
      <c r="R49" s="43">
        <f t="shared" si="3"/>
        <v>2</v>
      </c>
      <c r="S49" s="43">
        <f t="shared" si="4"/>
        <v>28</v>
      </c>
      <c r="T49" s="43">
        <f t="shared" ca="1" si="5"/>
        <v>862</v>
      </c>
      <c r="U49" s="43" t="str">
        <f t="shared" si="6"/>
        <v>LA</v>
      </c>
      <c r="V49" s="43" t="str">
        <f t="shared" si="7"/>
        <v>KEY</v>
      </c>
      <c r="W49" s="43" t="str">
        <f t="shared" si="8"/>
        <v>C-2406-088</v>
      </c>
      <c r="X49" s="43" t="str">
        <f>IF(COUNTIF($D$2:D49,D49)&gt;1,"Repeat","First")</f>
        <v>Repeat</v>
      </c>
      <c r="Y49" s="43" t="str">
        <f>IF(AND(K49=Filter!$B$4,N49&gt;=Filter!$B$5),MAX(Y$1:Y48)+1,"")</f>
        <v/>
      </c>
      <c r="Z49" s="43" t="str">
        <f t="shared" si="9"/>
        <v>2024-06</v>
      </c>
    </row>
    <row r="50" spans="1:26" x14ac:dyDescent="0.2">
      <c r="A50" s="43" t="s">
        <v>265</v>
      </c>
      <c r="B50" s="44">
        <v>45459</v>
      </c>
      <c r="C50" s="43" t="s">
        <v>203</v>
      </c>
      <c r="D50" s="43" t="s">
        <v>204</v>
      </c>
      <c r="E50" s="43" t="s">
        <v>219</v>
      </c>
      <c r="F50" s="43" t="s">
        <v>85</v>
      </c>
      <c r="G50" s="43" t="s">
        <v>67</v>
      </c>
      <c r="H50" s="43">
        <v>2</v>
      </c>
      <c r="I50" s="45">
        <v>89.99</v>
      </c>
      <c r="J50" s="43" t="s">
        <v>68</v>
      </c>
      <c r="K50" s="43" t="s">
        <v>76</v>
      </c>
      <c r="L50" s="43" t="s">
        <v>144</v>
      </c>
      <c r="M50" s="44">
        <v>44471</v>
      </c>
      <c r="N50" s="45">
        <v>179.98</v>
      </c>
      <c r="O50" s="43" t="str">
        <f t="shared" si="0"/>
        <v>OK</v>
      </c>
      <c r="P50" s="44">
        <f t="shared" si="1"/>
        <v>45473</v>
      </c>
      <c r="Q50" s="43" t="str">
        <f t="shared" si="2"/>
        <v>Jun-24</v>
      </c>
      <c r="R50" s="43">
        <f t="shared" si="3"/>
        <v>2</v>
      </c>
      <c r="S50" s="43">
        <f t="shared" si="4"/>
        <v>32</v>
      </c>
      <c r="T50" s="43">
        <f t="shared" ca="1" si="5"/>
        <v>859</v>
      </c>
      <c r="U50" s="43" t="str">
        <f t="shared" si="6"/>
        <v>PM</v>
      </c>
      <c r="V50" s="43" t="str">
        <f t="shared" si="7"/>
        <v>KEY</v>
      </c>
      <c r="W50" s="43" t="str">
        <f t="shared" si="8"/>
        <v>S-2406-115</v>
      </c>
      <c r="X50" s="43" t="str">
        <f>IF(COUNTIF($D$2:D50,D50)&gt;1,"Repeat","First")</f>
        <v>Repeat</v>
      </c>
      <c r="Y50" s="43" t="str">
        <f>IF(AND(K50=Filter!$B$4,N50&gt;=Filter!$B$5),MAX(Y$1:Y49)+1,"")</f>
        <v/>
      </c>
      <c r="Z50" s="43" t="str">
        <f t="shared" si="9"/>
        <v>2024-06</v>
      </c>
    </row>
    <row r="51" spans="1:26" x14ac:dyDescent="0.2">
      <c r="A51" s="43" t="s">
        <v>266</v>
      </c>
      <c r="B51" s="44">
        <v>45459</v>
      </c>
      <c r="C51" s="43" t="s">
        <v>137</v>
      </c>
      <c r="D51" s="43" t="s">
        <v>138</v>
      </c>
      <c r="E51" s="43" t="s">
        <v>168</v>
      </c>
      <c r="F51" s="43" t="s">
        <v>87</v>
      </c>
      <c r="G51" s="43" t="s">
        <v>67</v>
      </c>
      <c r="H51" s="43">
        <v>5</v>
      </c>
      <c r="I51" s="45">
        <v>899.99</v>
      </c>
      <c r="J51" s="43" t="s">
        <v>68</v>
      </c>
      <c r="K51" s="43" t="s">
        <v>76</v>
      </c>
      <c r="L51" s="43" t="s">
        <v>149</v>
      </c>
      <c r="M51" s="44">
        <v>44974</v>
      </c>
      <c r="N51" s="45">
        <v>4499.95</v>
      </c>
      <c r="O51" s="43" t="str">
        <f t="shared" si="0"/>
        <v>OK</v>
      </c>
      <c r="P51" s="44">
        <f t="shared" si="1"/>
        <v>45473</v>
      </c>
      <c r="Q51" s="43" t="str">
        <f t="shared" si="2"/>
        <v>Jun-24</v>
      </c>
      <c r="R51" s="43">
        <f t="shared" si="3"/>
        <v>1</v>
      </c>
      <c r="S51" s="43">
        <f t="shared" si="4"/>
        <v>15</v>
      </c>
      <c r="T51" s="43">
        <f t="shared" ca="1" si="5"/>
        <v>859</v>
      </c>
      <c r="U51" s="43" t="str">
        <f t="shared" si="6"/>
        <v>PB</v>
      </c>
      <c r="V51" s="43" t="str">
        <f t="shared" si="7"/>
        <v>LAP</v>
      </c>
      <c r="W51" s="43" t="str">
        <f t="shared" si="8"/>
        <v>S-2406-154</v>
      </c>
      <c r="X51" s="43" t="str">
        <f>IF(COUNTIF($D$2:D51,D51)&gt;1,"Repeat","First")</f>
        <v>Repeat</v>
      </c>
      <c r="Y51" s="43" t="str">
        <f>IF(AND(K51=Filter!$B$4,N51&gt;=Filter!$B$5),MAX(Y$1:Y50)+1,"")</f>
        <v/>
      </c>
      <c r="Z51" s="43" t="str">
        <f t="shared" si="9"/>
        <v>2024-06</v>
      </c>
    </row>
    <row r="52" spans="1:26" x14ac:dyDescent="0.2">
      <c r="A52" s="43" t="s">
        <v>267</v>
      </c>
      <c r="B52" s="44">
        <v>45459</v>
      </c>
      <c r="C52" s="43" t="s">
        <v>224</v>
      </c>
      <c r="D52" s="43" t="s">
        <v>225</v>
      </c>
      <c r="E52" s="43" t="s">
        <v>168</v>
      </c>
      <c r="F52" s="43" t="s">
        <v>87</v>
      </c>
      <c r="G52" s="43" t="s">
        <v>67</v>
      </c>
      <c r="H52" s="43">
        <v>5</v>
      </c>
      <c r="I52" s="45">
        <v>899.99</v>
      </c>
      <c r="J52" s="43" t="s">
        <v>78</v>
      </c>
      <c r="K52" s="43" t="s">
        <v>66</v>
      </c>
      <c r="L52" s="43" t="s">
        <v>144</v>
      </c>
      <c r="M52" s="44">
        <v>45278</v>
      </c>
      <c r="N52" s="45">
        <v>4499.95</v>
      </c>
      <c r="O52" s="43" t="str">
        <f t="shared" si="0"/>
        <v>OK</v>
      </c>
      <c r="P52" s="44">
        <f t="shared" si="1"/>
        <v>45473</v>
      </c>
      <c r="Q52" s="43" t="str">
        <f t="shared" si="2"/>
        <v>Jun-24</v>
      </c>
      <c r="R52" s="43">
        <f t="shared" si="3"/>
        <v>0</v>
      </c>
      <c r="S52" s="43">
        <f t="shared" si="4"/>
        <v>5</v>
      </c>
      <c r="T52" s="43">
        <f t="shared" ca="1" si="5"/>
        <v>859</v>
      </c>
      <c r="U52" s="43" t="str">
        <f t="shared" si="6"/>
        <v>EM</v>
      </c>
      <c r="V52" s="43" t="str">
        <f t="shared" si="7"/>
        <v>LAP</v>
      </c>
      <c r="W52" s="43" t="str">
        <f t="shared" si="8"/>
        <v>E-2406-044</v>
      </c>
      <c r="X52" s="43" t="str">
        <f>IF(COUNTIF($D$2:D52,D52)&gt;1,"Repeat","First")</f>
        <v>Repeat</v>
      </c>
      <c r="Y52" s="43" t="str">
        <f>IF(AND(K52=Filter!$B$4,N52&gt;=Filter!$B$5),MAX(Y$1:Y51)+1,"")</f>
        <v/>
      </c>
      <c r="Z52" s="43" t="str">
        <f t="shared" si="9"/>
        <v>2024-06</v>
      </c>
    </row>
    <row r="53" spans="1:26" x14ac:dyDescent="0.2">
      <c r="A53" s="43" t="s">
        <v>268</v>
      </c>
      <c r="B53" s="44">
        <v>45460</v>
      </c>
      <c r="C53" s="43" t="s">
        <v>258</v>
      </c>
      <c r="D53" s="43" t="s">
        <v>259</v>
      </c>
      <c r="E53" s="43" t="s">
        <v>148</v>
      </c>
      <c r="F53" s="43" t="s">
        <v>65</v>
      </c>
      <c r="G53" s="43" t="s">
        <v>62</v>
      </c>
      <c r="H53" s="43">
        <v>1</v>
      </c>
      <c r="I53" s="45">
        <v>59.99</v>
      </c>
      <c r="J53" s="43" t="s">
        <v>73</v>
      </c>
      <c r="K53" s="43" t="s">
        <v>81</v>
      </c>
      <c r="L53" s="43" t="s">
        <v>144</v>
      </c>
      <c r="M53" s="44">
        <v>45190</v>
      </c>
      <c r="N53" s="45">
        <v>59.99</v>
      </c>
      <c r="O53" s="43" t="str">
        <f t="shared" si="0"/>
        <v>OK</v>
      </c>
      <c r="P53" s="44">
        <f t="shared" si="1"/>
        <v>45473</v>
      </c>
      <c r="Q53" s="43" t="str">
        <f t="shared" si="2"/>
        <v>Jun-24</v>
      </c>
      <c r="R53" s="43">
        <f t="shared" si="3"/>
        <v>0</v>
      </c>
      <c r="S53" s="43">
        <f t="shared" si="4"/>
        <v>8</v>
      </c>
      <c r="T53" s="43">
        <f t="shared" ca="1" si="5"/>
        <v>858</v>
      </c>
      <c r="U53" s="43" t="str">
        <f t="shared" si="6"/>
        <v>BC</v>
      </c>
      <c r="V53" s="43" t="str">
        <f t="shared" si="7"/>
        <v>BLE</v>
      </c>
      <c r="W53" s="43" t="str">
        <f t="shared" si="8"/>
        <v>W-2406-061</v>
      </c>
      <c r="X53" s="43" t="str">
        <f>IF(COUNTIF($D$2:D53,D53)&gt;1,"Repeat","First")</f>
        <v>Repeat</v>
      </c>
      <c r="Y53" s="43" t="str">
        <f>IF(AND(K53=Filter!$B$4,N53&gt;=Filter!$B$5),MAX(Y$1:Y52)+1,"")</f>
        <v/>
      </c>
      <c r="Z53" s="43" t="str">
        <f t="shared" si="9"/>
        <v>2024-06</v>
      </c>
    </row>
    <row r="54" spans="1:26" x14ac:dyDescent="0.2">
      <c r="A54" s="43" t="s">
        <v>269</v>
      </c>
      <c r="B54" s="44">
        <v>45460</v>
      </c>
      <c r="C54" s="43" t="s">
        <v>241</v>
      </c>
      <c r="D54" s="43" t="s">
        <v>242</v>
      </c>
      <c r="E54" s="43" t="s">
        <v>209</v>
      </c>
      <c r="F54" s="43" t="s">
        <v>80</v>
      </c>
      <c r="G54" s="43" t="s">
        <v>72</v>
      </c>
      <c r="H54" s="43">
        <v>2</v>
      </c>
      <c r="I54" s="45">
        <v>299.99</v>
      </c>
      <c r="J54" s="43" t="s">
        <v>73</v>
      </c>
      <c r="K54" s="43" t="s">
        <v>66</v>
      </c>
      <c r="L54" s="43" t="s">
        <v>149</v>
      </c>
      <c r="M54" s="44">
        <v>45253</v>
      </c>
      <c r="N54" s="45">
        <v>599.98</v>
      </c>
      <c r="O54" s="43" t="str">
        <f t="shared" si="0"/>
        <v>OK</v>
      </c>
      <c r="P54" s="44">
        <f t="shared" si="1"/>
        <v>45473</v>
      </c>
      <c r="Q54" s="43" t="str">
        <f t="shared" si="2"/>
        <v>Jun-24</v>
      </c>
      <c r="R54" s="43">
        <f t="shared" si="3"/>
        <v>0</v>
      </c>
      <c r="S54" s="43">
        <f t="shared" si="4"/>
        <v>6</v>
      </c>
      <c r="T54" s="43">
        <f t="shared" ca="1" si="5"/>
        <v>858</v>
      </c>
      <c r="U54" s="43" t="str">
        <f t="shared" si="6"/>
        <v>JT</v>
      </c>
      <c r="V54" s="43" t="str">
        <f t="shared" si="7"/>
        <v>DES</v>
      </c>
      <c r="W54" s="43" t="str">
        <f t="shared" si="8"/>
        <v>E-2406-150</v>
      </c>
      <c r="X54" s="43" t="str">
        <f>IF(COUNTIF($D$2:D54,D54)&gt;1,"Repeat","First")</f>
        <v>Repeat</v>
      </c>
      <c r="Y54" s="43" t="str">
        <f>IF(AND(K54=Filter!$B$4,N54&gt;=Filter!$B$5),MAX(Y$1:Y53)+1,"")</f>
        <v/>
      </c>
      <c r="Z54" s="43" t="str">
        <f t="shared" si="9"/>
        <v>2024-06</v>
      </c>
    </row>
    <row r="55" spans="1:26" x14ac:dyDescent="0.2">
      <c r="A55" s="43" t="s">
        <v>270</v>
      </c>
      <c r="B55" s="44">
        <v>45468</v>
      </c>
      <c r="C55" s="43" t="s">
        <v>271</v>
      </c>
      <c r="D55" s="43" t="s">
        <v>272</v>
      </c>
      <c r="E55" s="43" t="s">
        <v>219</v>
      </c>
      <c r="F55" s="43" t="s">
        <v>85</v>
      </c>
      <c r="G55" s="43" t="s">
        <v>67</v>
      </c>
      <c r="H55" s="43">
        <v>4</v>
      </c>
      <c r="I55" s="45">
        <v>89.99</v>
      </c>
      <c r="J55" s="43" t="s">
        <v>73</v>
      </c>
      <c r="K55" s="43" t="s">
        <v>76</v>
      </c>
      <c r="L55" s="43" t="s">
        <v>140</v>
      </c>
      <c r="M55" s="44">
        <v>45281</v>
      </c>
      <c r="N55" s="45">
        <v>359.96</v>
      </c>
      <c r="O55" s="43" t="str">
        <f t="shared" si="0"/>
        <v>OK</v>
      </c>
      <c r="P55" s="44">
        <f t="shared" si="1"/>
        <v>45473</v>
      </c>
      <c r="Q55" s="43" t="str">
        <f t="shared" si="2"/>
        <v>Jun-24</v>
      </c>
      <c r="R55" s="43">
        <f t="shared" si="3"/>
        <v>0</v>
      </c>
      <c r="S55" s="43">
        <f t="shared" si="4"/>
        <v>6</v>
      </c>
      <c r="T55" s="43">
        <f t="shared" ca="1" si="5"/>
        <v>850</v>
      </c>
      <c r="U55" s="43" t="str">
        <f t="shared" si="6"/>
        <v>RR</v>
      </c>
      <c r="V55" s="43" t="str">
        <f t="shared" si="7"/>
        <v>KEY</v>
      </c>
      <c r="W55" s="43" t="str">
        <f t="shared" si="8"/>
        <v>S-2406-025</v>
      </c>
      <c r="X55" s="43" t="str">
        <f>IF(COUNTIF($D$2:D55,D55)&gt;1,"Repeat","First")</f>
        <v>First</v>
      </c>
      <c r="Y55" s="43" t="str">
        <f>IF(AND(K55=Filter!$B$4,N55&gt;=Filter!$B$5),MAX(Y$1:Y54)+1,"")</f>
        <v/>
      </c>
      <c r="Z55" s="43" t="str">
        <f t="shared" si="9"/>
        <v>2024-06</v>
      </c>
    </row>
    <row r="56" spans="1:26" x14ac:dyDescent="0.2">
      <c r="A56" s="43" t="s">
        <v>273</v>
      </c>
      <c r="B56" s="44">
        <v>45469</v>
      </c>
      <c r="C56" s="43" t="s">
        <v>146</v>
      </c>
      <c r="D56" s="43" t="s">
        <v>147</v>
      </c>
      <c r="E56" s="43" t="s">
        <v>217</v>
      </c>
      <c r="F56" s="43" t="s">
        <v>75</v>
      </c>
      <c r="G56" s="43" t="s">
        <v>62</v>
      </c>
      <c r="H56" s="43">
        <v>1</v>
      </c>
      <c r="I56" s="45">
        <v>79.989999999999995</v>
      </c>
      <c r="J56" s="43" t="s">
        <v>78</v>
      </c>
      <c r="K56" s="43" t="s">
        <v>61</v>
      </c>
      <c r="L56" s="43" t="s">
        <v>144</v>
      </c>
      <c r="M56" s="44">
        <v>45352</v>
      </c>
      <c r="N56" s="45">
        <v>79.989999999999995</v>
      </c>
      <c r="O56" s="43" t="str">
        <f t="shared" si="0"/>
        <v>OK</v>
      </c>
      <c r="P56" s="44">
        <f t="shared" si="1"/>
        <v>45473</v>
      </c>
      <c r="Q56" s="43" t="str">
        <f t="shared" si="2"/>
        <v>Jun-24</v>
      </c>
      <c r="R56" s="43">
        <f t="shared" si="3"/>
        <v>0</v>
      </c>
      <c r="S56" s="43">
        <f t="shared" si="4"/>
        <v>3</v>
      </c>
      <c r="T56" s="43">
        <f t="shared" ca="1" si="5"/>
        <v>849</v>
      </c>
      <c r="U56" s="43" t="str">
        <f t="shared" si="6"/>
        <v>KS</v>
      </c>
      <c r="V56" s="43" t="str">
        <f t="shared" si="7"/>
        <v>COF</v>
      </c>
      <c r="W56" s="43" t="str">
        <f t="shared" si="8"/>
        <v>C-2406-078</v>
      </c>
      <c r="X56" s="43" t="str">
        <f>IF(COUNTIF($D$2:D56,D56)&gt;1,"Repeat","First")</f>
        <v>Repeat</v>
      </c>
      <c r="Y56" s="43" t="str">
        <f>IF(AND(K56=Filter!$B$4,N56&gt;=Filter!$B$5),MAX(Y$1:Y55)+1,"")</f>
        <v/>
      </c>
      <c r="Z56" s="43" t="str">
        <f t="shared" si="9"/>
        <v>2024-06</v>
      </c>
    </row>
    <row r="57" spans="1:26" x14ac:dyDescent="0.2">
      <c r="A57" s="43" t="s">
        <v>274</v>
      </c>
      <c r="B57" s="44">
        <v>45469</v>
      </c>
      <c r="C57" s="43" t="s">
        <v>166</v>
      </c>
      <c r="D57" s="43" t="s">
        <v>167</v>
      </c>
      <c r="E57" s="43" t="s">
        <v>219</v>
      </c>
      <c r="F57" s="43" t="s">
        <v>85</v>
      </c>
      <c r="G57" s="43" t="s">
        <v>67</v>
      </c>
      <c r="H57" s="43">
        <v>2</v>
      </c>
      <c r="I57" s="45">
        <v>89.99</v>
      </c>
      <c r="J57" s="43" t="s">
        <v>63</v>
      </c>
      <c r="K57" s="43" t="s">
        <v>81</v>
      </c>
      <c r="L57" s="43" t="s">
        <v>140</v>
      </c>
      <c r="M57" s="44">
        <v>44438</v>
      </c>
      <c r="N57" s="45">
        <v>179.98</v>
      </c>
      <c r="O57" s="43" t="str">
        <f t="shared" si="0"/>
        <v>OK</v>
      </c>
      <c r="P57" s="44">
        <f t="shared" si="1"/>
        <v>45473</v>
      </c>
      <c r="Q57" s="43" t="str">
        <f t="shared" si="2"/>
        <v>Jun-24</v>
      </c>
      <c r="R57" s="43">
        <f t="shared" si="3"/>
        <v>2</v>
      </c>
      <c r="S57" s="43">
        <f t="shared" si="4"/>
        <v>33</v>
      </c>
      <c r="T57" s="43">
        <f t="shared" ca="1" si="5"/>
        <v>849</v>
      </c>
      <c r="U57" s="43" t="str">
        <f t="shared" si="6"/>
        <v>RT</v>
      </c>
      <c r="V57" s="43" t="str">
        <f t="shared" si="7"/>
        <v>KEY</v>
      </c>
      <c r="W57" s="43" t="str">
        <f t="shared" si="8"/>
        <v>W-2406-007</v>
      </c>
      <c r="X57" s="43" t="str">
        <f>IF(COUNTIF($D$2:D57,D57)&gt;1,"Repeat","First")</f>
        <v>Repeat</v>
      </c>
      <c r="Y57" s="43" t="str">
        <f>IF(AND(K57=Filter!$B$4,N57&gt;=Filter!$B$5),MAX(Y$1:Y56)+1,"")</f>
        <v/>
      </c>
      <c r="Z57" s="43" t="str">
        <f t="shared" si="9"/>
        <v>2024-06</v>
      </c>
    </row>
    <row r="58" spans="1:26" x14ac:dyDescent="0.2">
      <c r="A58" s="43" t="s">
        <v>275</v>
      </c>
      <c r="B58" s="44">
        <v>45471</v>
      </c>
      <c r="C58" s="43" t="s">
        <v>151</v>
      </c>
      <c r="D58" s="43" t="s">
        <v>152</v>
      </c>
      <c r="E58" s="43" t="s">
        <v>185</v>
      </c>
      <c r="F58" s="43" t="s">
        <v>93</v>
      </c>
      <c r="G58" s="43" t="s">
        <v>67</v>
      </c>
      <c r="H58" s="43">
        <v>3</v>
      </c>
      <c r="I58" s="45">
        <v>699.99</v>
      </c>
      <c r="J58" s="43" t="s">
        <v>68</v>
      </c>
      <c r="K58" s="43" t="s">
        <v>66</v>
      </c>
      <c r="L58" s="43" t="s">
        <v>144</v>
      </c>
      <c r="M58" s="44">
        <v>45102</v>
      </c>
      <c r="N58" s="45">
        <v>2099.9699999999998</v>
      </c>
      <c r="O58" s="43" t="str">
        <f t="shared" si="0"/>
        <v>OK</v>
      </c>
      <c r="P58" s="44">
        <f t="shared" si="1"/>
        <v>45473</v>
      </c>
      <c r="Q58" s="43" t="str">
        <f t="shared" si="2"/>
        <v>Jun-24</v>
      </c>
      <c r="R58" s="43">
        <f t="shared" si="3"/>
        <v>1</v>
      </c>
      <c r="S58" s="43">
        <f t="shared" si="4"/>
        <v>12</v>
      </c>
      <c r="T58" s="43">
        <f t="shared" ca="1" si="5"/>
        <v>847</v>
      </c>
      <c r="U58" s="43" t="str">
        <f t="shared" si="6"/>
        <v>KB</v>
      </c>
      <c r="V58" s="43" t="str">
        <f t="shared" si="7"/>
        <v>SMA</v>
      </c>
      <c r="W58" s="43" t="str">
        <f t="shared" si="8"/>
        <v>E-2406-184</v>
      </c>
      <c r="X58" s="43" t="str">
        <f>IF(COUNTIF($D$2:D58,D58)&gt;1,"Repeat","First")</f>
        <v>Repeat</v>
      </c>
      <c r="Y58" s="43" t="str">
        <f>IF(AND(K58=Filter!$B$4,N58&gt;=Filter!$B$5),MAX(Y$1:Y57)+1,"")</f>
        <v/>
      </c>
      <c r="Z58" s="43" t="str">
        <f t="shared" si="9"/>
        <v>2024-06</v>
      </c>
    </row>
    <row r="59" spans="1:26" x14ac:dyDescent="0.2">
      <c r="A59" s="43" t="s">
        <v>276</v>
      </c>
      <c r="B59" s="44">
        <v>45471</v>
      </c>
      <c r="C59" s="43" t="s">
        <v>203</v>
      </c>
      <c r="D59" s="43" t="s">
        <v>204</v>
      </c>
      <c r="E59" s="43" t="s">
        <v>168</v>
      </c>
      <c r="F59" s="43" t="s">
        <v>87</v>
      </c>
      <c r="G59" s="43" t="s">
        <v>67</v>
      </c>
      <c r="H59" s="43">
        <v>4</v>
      </c>
      <c r="I59" s="45">
        <v>899.99</v>
      </c>
      <c r="J59" s="43" t="s">
        <v>68</v>
      </c>
      <c r="K59" s="43" t="s">
        <v>66</v>
      </c>
      <c r="L59" s="43" t="s">
        <v>144</v>
      </c>
      <c r="M59" s="44">
        <v>44993</v>
      </c>
      <c r="N59" s="45">
        <v>3599.96</v>
      </c>
      <c r="O59" s="43" t="str">
        <f t="shared" si="0"/>
        <v>OK</v>
      </c>
      <c r="P59" s="44">
        <f t="shared" si="1"/>
        <v>45473</v>
      </c>
      <c r="Q59" s="43" t="str">
        <f t="shared" si="2"/>
        <v>Jun-24</v>
      </c>
      <c r="R59" s="43">
        <f t="shared" si="3"/>
        <v>1</v>
      </c>
      <c r="S59" s="43">
        <f t="shared" si="4"/>
        <v>15</v>
      </c>
      <c r="T59" s="43">
        <f t="shared" ca="1" si="5"/>
        <v>847</v>
      </c>
      <c r="U59" s="43" t="str">
        <f t="shared" si="6"/>
        <v>PM</v>
      </c>
      <c r="V59" s="43" t="str">
        <f t="shared" si="7"/>
        <v>LAP</v>
      </c>
      <c r="W59" s="43" t="str">
        <f t="shared" si="8"/>
        <v>E-2406-104</v>
      </c>
      <c r="X59" s="43" t="str">
        <f>IF(COUNTIF($D$2:D59,D59)&gt;1,"Repeat","First")</f>
        <v>Repeat</v>
      </c>
      <c r="Y59" s="43" t="str">
        <f>IF(AND(K59=Filter!$B$4,N59&gt;=Filter!$B$5),MAX(Y$1:Y58)+1,"")</f>
        <v/>
      </c>
      <c r="Z59" s="43" t="str">
        <f t="shared" si="9"/>
        <v>2024-06</v>
      </c>
    </row>
    <row r="60" spans="1:26" x14ac:dyDescent="0.2">
      <c r="A60" s="43" t="s">
        <v>277</v>
      </c>
      <c r="B60" s="44">
        <v>45472</v>
      </c>
      <c r="C60" s="43" t="s">
        <v>221</v>
      </c>
      <c r="D60" s="43" t="s">
        <v>222</v>
      </c>
      <c r="E60" s="43" t="s">
        <v>156</v>
      </c>
      <c r="F60" s="43" t="s">
        <v>70</v>
      </c>
      <c r="G60" s="43" t="s">
        <v>72</v>
      </c>
      <c r="H60" s="43">
        <v>1</v>
      </c>
      <c r="I60" s="45">
        <v>149.99</v>
      </c>
      <c r="J60" s="43" t="s">
        <v>78</v>
      </c>
      <c r="K60" s="43" t="s">
        <v>66</v>
      </c>
      <c r="L60" s="43" t="s">
        <v>140</v>
      </c>
      <c r="M60" s="44">
        <v>44851</v>
      </c>
      <c r="N60" s="45">
        <v>149.99</v>
      </c>
      <c r="O60" s="43" t="str">
        <f t="shared" si="0"/>
        <v>OK</v>
      </c>
      <c r="P60" s="44">
        <f t="shared" si="1"/>
        <v>45473</v>
      </c>
      <c r="Q60" s="43" t="str">
        <f t="shared" si="2"/>
        <v>Jun-24</v>
      </c>
      <c r="R60" s="43">
        <f t="shared" si="3"/>
        <v>1</v>
      </c>
      <c r="S60" s="43">
        <f t="shared" si="4"/>
        <v>20</v>
      </c>
      <c r="T60" s="43">
        <f t="shared" ca="1" si="5"/>
        <v>846</v>
      </c>
      <c r="U60" s="43" t="str">
        <f t="shared" si="6"/>
        <v>HR</v>
      </c>
      <c r="V60" s="43" t="str">
        <f t="shared" si="7"/>
        <v>BOO</v>
      </c>
      <c r="W60" s="43" t="str">
        <f t="shared" si="8"/>
        <v>E-2406-127</v>
      </c>
      <c r="X60" s="43" t="str">
        <f>IF(COUNTIF($D$2:D60,D60)&gt;1,"Repeat","First")</f>
        <v>Repeat</v>
      </c>
      <c r="Y60" s="43" t="str">
        <f>IF(AND(K60=Filter!$B$4,N60&gt;=Filter!$B$5),MAX(Y$1:Y59)+1,"")</f>
        <v/>
      </c>
      <c r="Z60" s="43" t="str">
        <f t="shared" si="9"/>
        <v>2024-06</v>
      </c>
    </row>
    <row r="61" spans="1:26" x14ac:dyDescent="0.2">
      <c r="A61" s="43" t="s">
        <v>278</v>
      </c>
      <c r="B61" s="44">
        <v>45474</v>
      </c>
      <c r="C61" s="43" t="s">
        <v>232</v>
      </c>
      <c r="D61" s="43" t="s">
        <v>233</v>
      </c>
      <c r="E61" s="43" t="s">
        <v>219</v>
      </c>
      <c r="F61" s="43" t="s">
        <v>85</v>
      </c>
      <c r="G61" s="43" t="s">
        <v>67</v>
      </c>
      <c r="H61" s="43">
        <v>2</v>
      </c>
      <c r="I61" s="45">
        <v>89.99</v>
      </c>
      <c r="J61" s="43" t="s">
        <v>78</v>
      </c>
      <c r="K61" s="43" t="s">
        <v>61</v>
      </c>
      <c r="L61" s="43" t="s">
        <v>144</v>
      </c>
      <c r="M61" s="44">
        <v>45275</v>
      </c>
      <c r="N61" s="45">
        <v>179.98</v>
      </c>
      <c r="O61" s="43" t="str">
        <f t="shared" si="0"/>
        <v>OK</v>
      </c>
      <c r="P61" s="44">
        <f t="shared" si="1"/>
        <v>45504</v>
      </c>
      <c r="Q61" s="43" t="str">
        <f t="shared" si="2"/>
        <v>Jul-24</v>
      </c>
      <c r="R61" s="43">
        <f t="shared" si="3"/>
        <v>0</v>
      </c>
      <c r="S61" s="43">
        <f t="shared" si="4"/>
        <v>6</v>
      </c>
      <c r="T61" s="43">
        <f t="shared" ca="1" si="5"/>
        <v>844</v>
      </c>
      <c r="U61" s="43" t="str">
        <f t="shared" si="6"/>
        <v>EW</v>
      </c>
      <c r="V61" s="43" t="str">
        <f t="shared" si="7"/>
        <v>KEY</v>
      </c>
      <c r="W61" s="43" t="str">
        <f t="shared" si="8"/>
        <v>C-2407-096</v>
      </c>
      <c r="X61" s="43" t="str">
        <f>IF(COUNTIF($D$2:D61,D61)&gt;1,"Repeat","First")</f>
        <v>Repeat</v>
      </c>
      <c r="Y61" s="43" t="str">
        <f>IF(AND(K61=Filter!$B$4,N61&gt;=Filter!$B$5),MAX(Y$1:Y60)+1,"")</f>
        <v/>
      </c>
      <c r="Z61" s="43" t="str">
        <f t="shared" si="9"/>
        <v>2024-07</v>
      </c>
    </row>
    <row r="62" spans="1:26" x14ac:dyDescent="0.2">
      <c r="A62" s="43" t="s">
        <v>279</v>
      </c>
      <c r="B62" s="44">
        <v>45475</v>
      </c>
      <c r="C62" s="43" t="s">
        <v>163</v>
      </c>
      <c r="D62" s="43" t="s">
        <v>164</v>
      </c>
      <c r="E62" s="43" t="s">
        <v>219</v>
      </c>
      <c r="F62" s="43" t="s">
        <v>85</v>
      </c>
      <c r="G62" s="43" t="s">
        <v>67</v>
      </c>
      <c r="H62" s="43">
        <v>1</v>
      </c>
      <c r="I62" s="45">
        <v>89.99</v>
      </c>
      <c r="J62" s="43" t="s">
        <v>78</v>
      </c>
      <c r="K62" s="43" t="s">
        <v>81</v>
      </c>
      <c r="L62" s="43" t="s">
        <v>149</v>
      </c>
      <c r="M62" s="44">
        <v>44802</v>
      </c>
      <c r="N62" s="45">
        <v>89.99</v>
      </c>
      <c r="O62" s="43" t="str">
        <f t="shared" si="0"/>
        <v>OK</v>
      </c>
      <c r="P62" s="44">
        <f t="shared" si="1"/>
        <v>45504</v>
      </c>
      <c r="Q62" s="43" t="str">
        <f t="shared" si="2"/>
        <v>Jul-24</v>
      </c>
      <c r="R62" s="43">
        <f t="shared" si="3"/>
        <v>1</v>
      </c>
      <c r="S62" s="43">
        <f t="shared" si="4"/>
        <v>22</v>
      </c>
      <c r="T62" s="43">
        <f t="shared" ca="1" si="5"/>
        <v>843</v>
      </c>
      <c r="U62" s="43" t="str">
        <f t="shared" si="6"/>
        <v>CA</v>
      </c>
      <c r="V62" s="43" t="str">
        <f t="shared" si="7"/>
        <v>KEY</v>
      </c>
      <c r="W62" s="43" t="str">
        <f t="shared" si="8"/>
        <v>W-2407-192</v>
      </c>
      <c r="X62" s="43" t="str">
        <f>IF(COUNTIF($D$2:D62,D62)&gt;1,"Repeat","First")</f>
        <v>Repeat</v>
      </c>
      <c r="Y62" s="43" t="str">
        <f>IF(AND(K62=Filter!$B$4,N62&gt;=Filter!$B$5),MAX(Y$1:Y61)+1,"")</f>
        <v/>
      </c>
      <c r="Z62" s="43" t="str">
        <f t="shared" si="9"/>
        <v>2024-07</v>
      </c>
    </row>
    <row r="63" spans="1:26" x14ac:dyDescent="0.2">
      <c r="A63" s="43" t="s">
        <v>280</v>
      </c>
      <c r="B63" s="44">
        <v>45476</v>
      </c>
      <c r="C63" s="43" t="s">
        <v>173</v>
      </c>
      <c r="D63" s="43" t="s">
        <v>174</v>
      </c>
      <c r="E63" s="43" t="s">
        <v>219</v>
      </c>
      <c r="F63" s="43" t="s">
        <v>85</v>
      </c>
      <c r="G63" s="43" t="s">
        <v>67</v>
      </c>
      <c r="H63" s="43">
        <v>1</v>
      </c>
      <c r="I63" s="45">
        <v>89.99</v>
      </c>
      <c r="J63" s="43" t="s">
        <v>63</v>
      </c>
      <c r="K63" s="43" t="s">
        <v>76</v>
      </c>
      <c r="L63" s="43" t="s">
        <v>149</v>
      </c>
      <c r="M63" s="44">
        <v>44611</v>
      </c>
      <c r="N63" s="45">
        <v>89.99</v>
      </c>
      <c r="O63" s="43" t="str">
        <f t="shared" si="0"/>
        <v>OK</v>
      </c>
      <c r="P63" s="44">
        <f t="shared" si="1"/>
        <v>45504</v>
      </c>
      <c r="Q63" s="43" t="str">
        <f t="shared" si="2"/>
        <v>Jul-24</v>
      </c>
      <c r="R63" s="43">
        <f t="shared" si="3"/>
        <v>2</v>
      </c>
      <c r="S63" s="43">
        <f t="shared" si="4"/>
        <v>28</v>
      </c>
      <c r="T63" s="43">
        <f t="shared" ca="1" si="5"/>
        <v>842</v>
      </c>
      <c r="U63" s="43" t="str">
        <f t="shared" si="6"/>
        <v>SG</v>
      </c>
      <c r="V63" s="43" t="str">
        <f t="shared" si="7"/>
        <v>KEY</v>
      </c>
      <c r="W63" s="43" t="str">
        <f t="shared" si="8"/>
        <v>S-2407-052</v>
      </c>
      <c r="X63" s="43" t="str">
        <f>IF(COUNTIF($D$2:D63,D63)&gt;1,"Repeat","First")</f>
        <v>Repeat</v>
      </c>
      <c r="Y63" s="43" t="str">
        <f>IF(AND(K63=Filter!$B$4,N63&gt;=Filter!$B$5),MAX(Y$1:Y62)+1,"")</f>
        <v/>
      </c>
      <c r="Z63" s="43" t="str">
        <f t="shared" si="9"/>
        <v>2024-07</v>
      </c>
    </row>
    <row r="64" spans="1:26" x14ac:dyDescent="0.2">
      <c r="A64" s="43" t="s">
        <v>281</v>
      </c>
      <c r="B64" s="44">
        <v>45476</v>
      </c>
      <c r="C64" s="43" t="s">
        <v>282</v>
      </c>
      <c r="D64" s="43" t="s">
        <v>283</v>
      </c>
      <c r="E64" s="43" t="s">
        <v>217</v>
      </c>
      <c r="F64" s="43" t="s">
        <v>75</v>
      </c>
      <c r="G64" s="43" t="s">
        <v>62</v>
      </c>
      <c r="H64" s="43">
        <v>5</v>
      </c>
      <c r="I64" s="45">
        <v>79.989999999999995</v>
      </c>
      <c r="J64" s="43" t="s">
        <v>73</v>
      </c>
      <c r="K64" s="43" t="s">
        <v>61</v>
      </c>
      <c r="L64" s="43" t="s">
        <v>140</v>
      </c>
      <c r="M64" s="44">
        <v>44981</v>
      </c>
      <c r="N64" s="45">
        <v>399.95</v>
      </c>
      <c r="O64" s="43" t="str">
        <f t="shared" si="0"/>
        <v>OK</v>
      </c>
      <c r="P64" s="44">
        <f t="shared" si="1"/>
        <v>45504</v>
      </c>
      <c r="Q64" s="43" t="str">
        <f t="shared" si="2"/>
        <v>Jul-24</v>
      </c>
      <c r="R64" s="43">
        <f t="shared" si="3"/>
        <v>1</v>
      </c>
      <c r="S64" s="43">
        <f t="shared" si="4"/>
        <v>16</v>
      </c>
      <c r="T64" s="43">
        <f t="shared" ca="1" si="5"/>
        <v>842</v>
      </c>
      <c r="U64" s="43" t="str">
        <f t="shared" si="6"/>
        <v>DM</v>
      </c>
      <c r="V64" s="43" t="str">
        <f t="shared" si="7"/>
        <v>COF</v>
      </c>
      <c r="W64" s="43" t="str">
        <f t="shared" si="8"/>
        <v>C-2407-070</v>
      </c>
      <c r="X64" s="43" t="str">
        <f>IF(COUNTIF($D$2:D64,D64)&gt;1,"Repeat","First")</f>
        <v>First</v>
      </c>
      <c r="Y64" s="43" t="str">
        <f>IF(AND(K64=Filter!$B$4,N64&gt;=Filter!$B$5),MAX(Y$1:Y63)+1,"")</f>
        <v/>
      </c>
      <c r="Z64" s="43" t="str">
        <f t="shared" si="9"/>
        <v>2024-07</v>
      </c>
    </row>
    <row r="65" spans="1:26" x14ac:dyDescent="0.2">
      <c r="A65" s="43" t="s">
        <v>284</v>
      </c>
      <c r="B65" s="44">
        <v>45481</v>
      </c>
      <c r="C65" s="43" t="s">
        <v>285</v>
      </c>
      <c r="D65" s="43" t="s">
        <v>286</v>
      </c>
      <c r="E65" s="43" t="s">
        <v>156</v>
      </c>
      <c r="F65" s="43" t="s">
        <v>70</v>
      </c>
      <c r="G65" s="43" t="s">
        <v>72</v>
      </c>
      <c r="H65" s="43">
        <v>1</v>
      </c>
      <c r="I65" s="45">
        <v>149.99</v>
      </c>
      <c r="J65" s="43" t="s">
        <v>78</v>
      </c>
      <c r="K65" s="43" t="s">
        <v>71</v>
      </c>
      <c r="L65" s="43" t="s">
        <v>140</v>
      </c>
      <c r="M65" s="44">
        <v>44421</v>
      </c>
      <c r="N65" s="45">
        <v>149.99</v>
      </c>
      <c r="O65" s="43" t="str">
        <f t="shared" si="0"/>
        <v>OK</v>
      </c>
      <c r="P65" s="44">
        <f t="shared" si="1"/>
        <v>45504</v>
      </c>
      <c r="Q65" s="43" t="str">
        <f t="shared" si="2"/>
        <v>Jul-24</v>
      </c>
      <c r="R65" s="43">
        <f t="shared" si="3"/>
        <v>2</v>
      </c>
      <c r="S65" s="43">
        <f t="shared" si="4"/>
        <v>34</v>
      </c>
      <c r="T65" s="43">
        <f t="shared" ca="1" si="5"/>
        <v>837</v>
      </c>
      <c r="U65" s="43" t="str">
        <f t="shared" si="6"/>
        <v>MW</v>
      </c>
      <c r="V65" s="43" t="str">
        <f t="shared" si="7"/>
        <v>BOO</v>
      </c>
      <c r="W65" s="43" t="str">
        <f t="shared" si="8"/>
        <v>N-2407-086</v>
      </c>
      <c r="X65" s="43" t="str">
        <f>IF(COUNTIF($D$2:D65,D65)&gt;1,"Repeat","First")</f>
        <v>First</v>
      </c>
      <c r="Y65" s="43" t="str">
        <f>IF(AND(K65=Filter!$B$4,N65&gt;=Filter!$B$5),MAX(Y$1:Y64)+1,"")</f>
        <v/>
      </c>
      <c r="Z65" s="43" t="str">
        <f t="shared" si="9"/>
        <v>2024-07</v>
      </c>
    </row>
    <row r="66" spans="1:26" x14ac:dyDescent="0.2">
      <c r="A66" s="43" t="s">
        <v>287</v>
      </c>
      <c r="B66" s="44">
        <v>45481</v>
      </c>
      <c r="C66" s="43" t="s">
        <v>154</v>
      </c>
      <c r="D66" s="43" t="s">
        <v>155</v>
      </c>
      <c r="E66" s="43" t="s">
        <v>185</v>
      </c>
      <c r="F66" s="43" t="s">
        <v>93</v>
      </c>
      <c r="G66" s="43" t="s">
        <v>67</v>
      </c>
      <c r="H66" s="43">
        <v>2</v>
      </c>
      <c r="I66" s="45">
        <v>699.99</v>
      </c>
      <c r="J66" s="43" t="s">
        <v>78</v>
      </c>
      <c r="K66" s="43" t="s">
        <v>66</v>
      </c>
      <c r="L66" s="43" t="s">
        <v>144</v>
      </c>
      <c r="M66" s="44">
        <v>45389</v>
      </c>
      <c r="N66" s="45">
        <v>1399.98</v>
      </c>
      <c r="O66" s="43" t="str">
        <f t="shared" ref="O66:O129" si="10">IF(ROUND(H66*I66-N66,2)=0,"OK","Error")</f>
        <v>OK</v>
      </c>
      <c r="P66" s="44">
        <f t="shared" ref="P66:P129" si="11">EOMONTH(B66,0)</f>
        <v>45504</v>
      </c>
      <c r="Q66" s="43" t="str">
        <f t="shared" ref="Q66:Q129" si="12">TEXT(B66,"mmm-yy")</f>
        <v>Jul-24</v>
      </c>
      <c r="R66" s="43">
        <f t="shared" ref="R66:R129" si="13">DATEDIF(M66,B66,"Y")</f>
        <v>0</v>
      </c>
      <c r="S66" s="43">
        <f t="shared" ref="S66:S129" si="14">DATEDIF(M66,B66,"M")</f>
        <v>3</v>
      </c>
      <c r="T66" s="43">
        <f t="shared" ref="T66:T129" ca="1" si="15">TODAY()-B66</f>
        <v>837</v>
      </c>
      <c r="U66" s="43" t="str">
        <f t="shared" ref="U66:U129" si="16">LEFT(D66,1)&amp;MID(D66,FIND(" ",D66)+1,1)</f>
        <v>MB</v>
      </c>
      <c r="V66" s="43" t="str">
        <f t="shared" ref="V66:V129" si="17">UPPER(LEFT(F66,3))</f>
        <v>SMA</v>
      </c>
      <c r="W66" s="43" t="str">
        <f t="shared" ref="W66:W129" si="18">UPPER(LEFT(K66,1))&amp;"-"&amp;TEXT(B66,"yymm")&amp;"-"&amp;RIGHT(A66,3)</f>
        <v>E-2407-113</v>
      </c>
      <c r="X66" s="43" t="str">
        <f>IF(COUNTIF($D$2:D66,D66)&gt;1,"Repeat","First")</f>
        <v>Repeat</v>
      </c>
      <c r="Y66" s="43" t="str">
        <f>IF(AND(K66=Filter!$B$4,N66&gt;=Filter!$B$5),MAX(Y$1:Y65)+1,"")</f>
        <v/>
      </c>
      <c r="Z66" s="43" t="str">
        <f t="shared" ref="Z66:Z129" si="19">TEXT(B66,"yyyy-mm")</f>
        <v>2024-07</v>
      </c>
    </row>
    <row r="67" spans="1:26" x14ac:dyDescent="0.2">
      <c r="A67" s="43" t="s">
        <v>288</v>
      </c>
      <c r="B67" s="44">
        <v>45481</v>
      </c>
      <c r="C67" s="43" t="s">
        <v>200</v>
      </c>
      <c r="D67" s="43" t="s">
        <v>201</v>
      </c>
      <c r="E67" s="43" t="s">
        <v>219</v>
      </c>
      <c r="F67" s="43" t="s">
        <v>85</v>
      </c>
      <c r="G67" s="43" t="s">
        <v>67</v>
      </c>
      <c r="H67" s="43">
        <v>5</v>
      </c>
      <c r="I67" s="45">
        <v>89.99</v>
      </c>
      <c r="J67" s="43" t="s">
        <v>73</v>
      </c>
      <c r="K67" s="43" t="s">
        <v>71</v>
      </c>
      <c r="L67" s="43" t="s">
        <v>144</v>
      </c>
      <c r="M67" s="44">
        <v>45161</v>
      </c>
      <c r="N67" s="45">
        <v>449.95</v>
      </c>
      <c r="O67" s="43" t="str">
        <f t="shared" si="10"/>
        <v>OK</v>
      </c>
      <c r="P67" s="44">
        <f t="shared" si="11"/>
        <v>45504</v>
      </c>
      <c r="Q67" s="43" t="str">
        <f t="shared" si="12"/>
        <v>Jul-24</v>
      </c>
      <c r="R67" s="43">
        <f t="shared" si="13"/>
        <v>0</v>
      </c>
      <c r="S67" s="43">
        <f t="shared" si="14"/>
        <v>10</v>
      </c>
      <c r="T67" s="43">
        <f t="shared" ca="1" si="15"/>
        <v>837</v>
      </c>
      <c r="U67" s="43" t="str">
        <f t="shared" si="16"/>
        <v>BY</v>
      </c>
      <c r="V67" s="43" t="str">
        <f t="shared" si="17"/>
        <v>KEY</v>
      </c>
      <c r="W67" s="43" t="str">
        <f t="shared" si="18"/>
        <v>N-2407-114</v>
      </c>
      <c r="X67" s="43" t="str">
        <f>IF(COUNTIF($D$2:D67,D67)&gt;1,"Repeat","First")</f>
        <v>Repeat</v>
      </c>
      <c r="Y67" s="43" t="str">
        <f>IF(AND(K67=Filter!$B$4,N67&gt;=Filter!$B$5),MAX(Y$1:Y66)+1,"")</f>
        <v/>
      </c>
      <c r="Z67" s="43" t="str">
        <f t="shared" si="19"/>
        <v>2024-07</v>
      </c>
    </row>
    <row r="68" spans="1:26" x14ac:dyDescent="0.2">
      <c r="A68" s="43" t="s">
        <v>289</v>
      </c>
      <c r="B68" s="44">
        <v>45482</v>
      </c>
      <c r="C68" s="43" t="s">
        <v>271</v>
      </c>
      <c r="D68" s="43" t="s">
        <v>272</v>
      </c>
      <c r="E68" s="43" t="s">
        <v>148</v>
      </c>
      <c r="F68" s="43" t="s">
        <v>65</v>
      </c>
      <c r="G68" s="43" t="s">
        <v>62</v>
      </c>
      <c r="H68" s="43">
        <v>4</v>
      </c>
      <c r="I68" s="45">
        <v>59.99</v>
      </c>
      <c r="J68" s="43" t="s">
        <v>63</v>
      </c>
      <c r="K68" s="43" t="s">
        <v>76</v>
      </c>
      <c r="L68" s="43" t="s">
        <v>149</v>
      </c>
      <c r="M68" s="44">
        <v>44509</v>
      </c>
      <c r="N68" s="45">
        <v>239.96</v>
      </c>
      <c r="O68" s="43" t="str">
        <f t="shared" si="10"/>
        <v>OK</v>
      </c>
      <c r="P68" s="44">
        <f t="shared" si="11"/>
        <v>45504</v>
      </c>
      <c r="Q68" s="43" t="str">
        <f t="shared" si="12"/>
        <v>Jul-24</v>
      </c>
      <c r="R68" s="43">
        <f t="shared" si="13"/>
        <v>2</v>
      </c>
      <c r="S68" s="43">
        <f t="shared" si="14"/>
        <v>32</v>
      </c>
      <c r="T68" s="43">
        <f t="shared" ca="1" si="15"/>
        <v>836</v>
      </c>
      <c r="U68" s="43" t="str">
        <f t="shared" si="16"/>
        <v>RR</v>
      </c>
      <c r="V68" s="43" t="str">
        <f t="shared" si="17"/>
        <v>BLE</v>
      </c>
      <c r="W68" s="43" t="str">
        <f t="shared" si="18"/>
        <v>S-2407-136</v>
      </c>
      <c r="X68" s="43" t="str">
        <f>IF(COUNTIF($D$2:D68,D68)&gt;1,"Repeat","First")</f>
        <v>Repeat</v>
      </c>
      <c r="Y68" s="43" t="str">
        <f>IF(AND(K68=Filter!$B$4,N68&gt;=Filter!$B$5),MAX(Y$1:Y67)+1,"")</f>
        <v/>
      </c>
      <c r="Z68" s="43" t="str">
        <f t="shared" si="19"/>
        <v>2024-07</v>
      </c>
    </row>
    <row r="69" spans="1:26" x14ac:dyDescent="0.2">
      <c r="A69" s="43" t="s">
        <v>290</v>
      </c>
      <c r="B69" s="44">
        <v>45484</v>
      </c>
      <c r="C69" s="43" t="s">
        <v>142</v>
      </c>
      <c r="D69" s="43" t="s">
        <v>143</v>
      </c>
      <c r="E69" s="43" t="s">
        <v>161</v>
      </c>
      <c r="F69" s="43" t="s">
        <v>83</v>
      </c>
      <c r="G69" s="43" t="s">
        <v>67</v>
      </c>
      <c r="H69" s="43">
        <v>1</v>
      </c>
      <c r="I69" s="45">
        <v>149.99</v>
      </c>
      <c r="J69" s="43" t="s">
        <v>63</v>
      </c>
      <c r="K69" s="43" t="s">
        <v>61</v>
      </c>
      <c r="L69" s="43" t="s">
        <v>149</v>
      </c>
      <c r="M69" s="44">
        <v>44909</v>
      </c>
      <c r="N69" s="45">
        <v>149.99</v>
      </c>
      <c r="O69" s="43" t="str">
        <f t="shared" si="10"/>
        <v>OK</v>
      </c>
      <c r="P69" s="44">
        <f t="shared" si="11"/>
        <v>45504</v>
      </c>
      <c r="Q69" s="43" t="str">
        <f t="shared" si="12"/>
        <v>Jul-24</v>
      </c>
      <c r="R69" s="43">
        <f t="shared" si="13"/>
        <v>1</v>
      </c>
      <c r="S69" s="43">
        <f t="shared" si="14"/>
        <v>18</v>
      </c>
      <c r="T69" s="43">
        <f t="shared" ca="1" si="15"/>
        <v>834</v>
      </c>
      <c r="U69" s="43" t="str">
        <f t="shared" si="16"/>
        <v>JJ</v>
      </c>
      <c r="V69" s="43" t="str">
        <f t="shared" si="17"/>
        <v>HEA</v>
      </c>
      <c r="W69" s="43" t="str">
        <f t="shared" si="18"/>
        <v>C-2407-018</v>
      </c>
      <c r="X69" s="43" t="str">
        <f>IF(COUNTIF($D$2:D69,D69)&gt;1,"Repeat","First")</f>
        <v>Repeat</v>
      </c>
      <c r="Y69" s="43" t="str">
        <f>IF(AND(K69=Filter!$B$4,N69&gt;=Filter!$B$5),MAX(Y$1:Y68)+1,"")</f>
        <v/>
      </c>
      <c r="Z69" s="43" t="str">
        <f t="shared" si="19"/>
        <v>2024-07</v>
      </c>
    </row>
    <row r="70" spans="1:26" x14ac:dyDescent="0.2">
      <c r="A70" s="43" t="s">
        <v>291</v>
      </c>
      <c r="B70" s="44">
        <v>45484</v>
      </c>
      <c r="C70" s="43" t="s">
        <v>292</v>
      </c>
      <c r="D70" s="43" t="s">
        <v>293</v>
      </c>
      <c r="E70" s="43" t="s">
        <v>209</v>
      </c>
      <c r="F70" s="43" t="s">
        <v>80</v>
      </c>
      <c r="G70" s="43" t="s">
        <v>72</v>
      </c>
      <c r="H70" s="43">
        <v>1</v>
      </c>
      <c r="I70" s="45">
        <v>299.99</v>
      </c>
      <c r="J70" s="43" t="s">
        <v>68</v>
      </c>
      <c r="K70" s="43" t="s">
        <v>71</v>
      </c>
      <c r="L70" s="43" t="s">
        <v>144</v>
      </c>
      <c r="M70" s="44">
        <v>44891</v>
      </c>
      <c r="N70" s="45">
        <v>299.99</v>
      </c>
      <c r="O70" s="43" t="str">
        <f t="shared" si="10"/>
        <v>OK</v>
      </c>
      <c r="P70" s="44">
        <f t="shared" si="11"/>
        <v>45504</v>
      </c>
      <c r="Q70" s="43" t="str">
        <f t="shared" si="12"/>
        <v>Jul-24</v>
      </c>
      <c r="R70" s="43">
        <f t="shared" si="13"/>
        <v>1</v>
      </c>
      <c r="S70" s="43">
        <f t="shared" si="14"/>
        <v>19</v>
      </c>
      <c r="T70" s="43">
        <f t="shared" ca="1" si="15"/>
        <v>834</v>
      </c>
      <c r="U70" s="43" t="str">
        <f t="shared" si="16"/>
        <v>FT</v>
      </c>
      <c r="V70" s="43" t="str">
        <f t="shared" si="17"/>
        <v>DES</v>
      </c>
      <c r="W70" s="43" t="str">
        <f t="shared" si="18"/>
        <v>N-2407-141</v>
      </c>
      <c r="X70" s="43" t="str">
        <f>IF(COUNTIF($D$2:D70,D70)&gt;1,"Repeat","First")</f>
        <v>First</v>
      </c>
      <c r="Y70" s="43" t="str">
        <f>IF(AND(K70=Filter!$B$4,N70&gt;=Filter!$B$5),MAX(Y$1:Y69)+1,"")</f>
        <v/>
      </c>
      <c r="Z70" s="43" t="str">
        <f t="shared" si="19"/>
        <v>2024-07</v>
      </c>
    </row>
    <row r="71" spans="1:26" x14ac:dyDescent="0.2">
      <c r="A71" s="43" t="s">
        <v>294</v>
      </c>
      <c r="B71" s="44">
        <v>45487</v>
      </c>
      <c r="C71" s="43" t="s">
        <v>292</v>
      </c>
      <c r="D71" s="43" t="s">
        <v>293</v>
      </c>
      <c r="E71" s="43" t="s">
        <v>227</v>
      </c>
      <c r="F71" s="43" t="s">
        <v>91</v>
      </c>
      <c r="G71" s="43" t="s">
        <v>72</v>
      </c>
      <c r="H71" s="43">
        <v>2</v>
      </c>
      <c r="I71" s="45">
        <v>199.99</v>
      </c>
      <c r="J71" s="43" t="s">
        <v>63</v>
      </c>
      <c r="K71" s="43" t="s">
        <v>71</v>
      </c>
      <c r="L71" s="43" t="s">
        <v>140</v>
      </c>
      <c r="M71" s="44">
        <v>44541</v>
      </c>
      <c r="N71" s="45">
        <v>399.98</v>
      </c>
      <c r="O71" s="43" t="str">
        <f t="shared" si="10"/>
        <v>OK</v>
      </c>
      <c r="P71" s="44">
        <f t="shared" si="11"/>
        <v>45504</v>
      </c>
      <c r="Q71" s="43" t="str">
        <f t="shared" si="12"/>
        <v>Jul-24</v>
      </c>
      <c r="R71" s="43">
        <f t="shared" si="13"/>
        <v>2</v>
      </c>
      <c r="S71" s="43">
        <f t="shared" si="14"/>
        <v>31</v>
      </c>
      <c r="T71" s="43">
        <f t="shared" ca="1" si="15"/>
        <v>831</v>
      </c>
      <c r="U71" s="43" t="str">
        <f t="shared" si="16"/>
        <v>FT</v>
      </c>
      <c r="V71" s="43" t="str">
        <f t="shared" si="17"/>
        <v>OFF</v>
      </c>
      <c r="W71" s="43" t="str">
        <f t="shared" si="18"/>
        <v>N-2407-097</v>
      </c>
      <c r="X71" s="43" t="str">
        <f>IF(COUNTIF($D$2:D71,D71)&gt;1,"Repeat","First")</f>
        <v>Repeat</v>
      </c>
      <c r="Y71" s="43" t="str">
        <f>IF(AND(K71=Filter!$B$4,N71&gt;=Filter!$B$5),MAX(Y$1:Y70)+1,"")</f>
        <v/>
      </c>
      <c r="Z71" s="43" t="str">
        <f t="shared" si="19"/>
        <v>2024-07</v>
      </c>
    </row>
    <row r="72" spans="1:26" x14ac:dyDescent="0.2">
      <c r="A72" s="43" t="s">
        <v>295</v>
      </c>
      <c r="B72" s="44">
        <v>45490</v>
      </c>
      <c r="C72" s="43" t="s">
        <v>296</v>
      </c>
      <c r="D72" s="43" t="s">
        <v>297</v>
      </c>
      <c r="E72" s="43" t="s">
        <v>148</v>
      </c>
      <c r="F72" s="43" t="s">
        <v>65</v>
      </c>
      <c r="G72" s="43" t="s">
        <v>62</v>
      </c>
      <c r="H72" s="43">
        <v>3</v>
      </c>
      <c r="I72" s="45">
        <v>59.99</v>
      </c>
      <c r="J72" s="43" t="s">
        <v>68</v>
      </c>
      <c r="K72" s="43" t="s">
        <v>81</v>
      </c>
      <c r="L72" s="43" t="s">
        <v>140</v>
      </c>
      <c r="M72" s="44">
        <v>45130</v>
      </c>
      <c r="N72" s="45">
        <v>179.97</v>
      </c>
      <c r="O72" s="43" t="str">
        <f t="shared" si="10"/>
        <v>OK</v>
      </c>
      <c r="P72" s="44">
        <f t="shared" si="11"/>
        <v>45504</v>
      </c>
      <c r="Q72" s="43" t="str">
        <f t="shared" si="12"/>
        <v>Jul-24</v>
      </c>
      <c r="R72" s="43">
        <f t="shared" si="13"/>
        <v>0</v>
      </c>
      <c r="S72" s="43">
        <f t="shared" si="14"/>
        <v>11</v>
      </c>
      <c r="T72" s="43">
        <f t="shared" ca="1" si="15"/>
        <v>828</v>
      </c>
      <c r="U72" s="43" t="str">
        <f t="shared" si="16"/>
        <v>GM</v>
      </c>
      <c r="V72" s="43" t="str">
        <f t="shared" si="17"/>
        <v>BLE</v>
      </c>
      <c r="W72" s="43" t="str">
        <f t="shared" si="18"/>
        <v>W-2407-169</v>
      </c>
      <c r="X72" s="43" t="str">
        <f>IF(COUNTIF($D$2:D72,D72)&gt;1,"Repeat","First")</f>
        <v>First</v>
      </c>
      <c r="Y72" s="43" t="str">
        <f>IF(AND(K72=Filter!$B$4,N72&gt;=Filter!$B$5),MAX(Y$1:Y71)+1,"")</f>
        <v/>
      </c>
      <c r="Z72" s="43" t="str">
        <f t="shared" si="19"/>
        <v>2024-07</v>
      </c>
    </row>
    <row r="73" spans="1:26" x14ac:dyDescent="0.2">
      <c r="A73" s="43" t="s">
        <v>298</v>
      </c>
      <c r="B73" s="44">
        <v>45490</v>
      </c>
      <c r="C73" s="43" t="s">
        <v>177</v>
      </c>
      <c r="D73" s="43" t="s">
        <v>178</v>
      </c>
      <c r="E73" s="43" t="s">
        <v>156</v>
      </c>
      <c r="F73" s="43" t="s">
        <v>70</v>
      </c>
      <c r="G73" s="43" t="s">
        <v>72</v>
      </c>
      <c r="H73" s="43">
        <v>3</v>
      </c>
      <c r="I73" s="45">
        <v>149.99</v>
      </c>
      <c r="J73" s="43" t="s">
        <v>63</v>
      </c>
      <c r="K73" s="43" t="s">
        <v>61</v>
      </c>
      <c r="L73" s="43" t="s">
        <v>144</v>
      </c>
      <c r="M73" s="44">
        <v>45199</v>
      </c>
      <c r="N73" s="45">
        <v>449.97</v>
      </c>
      <c r="O73" s="43" t="str">
        <f t="shared" si="10"/>
        <v>OK</v>
      </c>
      <c r="P73" s="44">
        <f t="shared" si="11"/>
        <v>45504</v>
      </c>
      <c r="Q73" s="43" t="str">
        <f t="shared" si="12"/>
        <v>Jul-24</v>
      </c>
      <c r="R73" s="43">
        <f t="shared" si="13"/>
        <v>0</v>
      </c>
      <c r="S73" s="43">
        <f t="shared" si="14"/>
        <v>9</v>
      </c>
      <c r="T73" s="43">
        <f t="shared" ca="1" si="15"/>
        <v>828</v>
      </c>
      <c r="U73" s="43" t="str">
        <f t="shared" si="16"/>
        <v>PR</v>
      </c>
      <c r="V73" s="43" t="str">
        <f t="shared" si="17"/>
        <v>BOO</v>
      </c>
      <c r="W73" s="43" t="str">
        <f t="shared" si="18"/>
        <v>C-2407-216</v>
      </c>
      <c r="X73" s="43" t="str">
        <f>IF(COUNTIF($D$2:D73,D73)&gt;1,"Repeat","First")</f>
        <v>Repeat</v>
      </c>
      <c r="Y73" s="43" t="str">
        <f>IF(AND(K73=Filter!$B$4,N73&gt;=Filter!$B$5),MAX(Y$1:Y72)+1,"")</f>
        <v/>
      </c>
      <c r="Z73" s="43" t="str">
        <f t="shared" si="19"/>
        <v>2024-07</v>
      </c>
    </row>
    <row r="74" spans="1:26" x14ac:dyDescent="0.2">
      <c r="A74" s="43" t="s">
        <v>299</v>
      </c>
      <c r="B74" s="44">
        <v>45491</v>
      </c>
      <c r="C74" s="43" t="s">
        <v>170</v>
      </c>
      <c r="D74" s="43" t="s">
        <v>171</v>
      </c>
      <c r="E74" s="43" t="s">
        <v>227</v>
      </c>
      <c r="F74" s="43" t="s">
        <v>91</v>
      </c>
      <c r="G74" s="43" t="s">
        <v>72</v>
      </c>
      <c r="H74" s="43">
        <v>3</v>
      </c>
      <c r="I74" s="45">
        <v>199.99</v>
      </c>
      <c r="J74" s="43" t="s">
        <v>63</v>
      </c>
      <c r="K74" s="43" t="s">
        <v>71</v>
      </c>
      <c r="L74" s="43" t="s">
        <v>144</v>
      </c>
      <c r="M74" s="44">
        <v>45254</v>
      </c>
      <c r="N74" s="45">
        <v>599.97</v>
      </c>
      <c r="O74" s="43" t="str">
        <f t="shared" si="10"/>
        <v>OK</v>
      </c>
      <c r="P74" s="44">
        <f t="shared" si="11"/>
        <v>45504</v>
      </c>
      <c r="Q74" s="43" t="str">
        <f t="shared" si="12"/>
        <v>Jul-24</v>
      </c>
      <c r="R74" s="43">
        <f t="shared" si="13"/>
        <v>0</v>
      </c>
      <c r="S74" s="43">
        <f t="shared" si="14"/>
        <v>7</v>
      </c>
      <c r="T74" s="43">
        <f t="shared" ca="1" si="15"/>
        <v>827</v>
      </c>
      <c r="U74" s="43" t="str">
        <f t="shared" si="16"/>
        <v>KH</v>
      </c>
      <c r="V74" s="43" t="str">
        <f t="shared" si="17"/>
        <v>OFF</v>
      </c>
      <c r="W74" s="43" t="str">
        <f t="shared" si="18"/>
        <v>N-2407-131</v>
      </c>
      <c r="X74" s="43" t="str">
        <f>IF(COUNTIF($D$2:D74,D74)&gt;1,"Repeat","First")</f>
        <v>Repeat</v>
      </c>
      <c r="Y74" s="43" t="str">
        <f>IF(AND(K74=Filter!$B$4,N74&gt;=Filter!$B$5),MAX(Y$1:Y73)+1,"")</f>
        <v/>
      </c>
      <c r="Z74" s="43" t="str">
        <f t="shared" si="19"/>
        <v>2024-07</v>
      </c>
    </row>
    <row r="75" spans="1:26" x14ac:dyDescent="0.2">
      <c r="A75" s="43" t="s">
        <v>300</v>
      </c>
      <c r="B75" s="44">
        <v>45496</v>
      </c>
      <c r="C75" s="43" t="s">
        <v>250</v>
      </c>
      <c r="D75" s="43" t="s">
        <v>251</v>
      </c>
      <c r="E75" s="43" t="s">
        <v>168</v>
      </c>
      <c r="F75" s="43" t="s">
        <v>87</v>
      </c>
      <c r="G75" s="43" t="s">
        <v>67</v>
      </c>
      <c r="H75" s="43">
        <v>1</v>
      </c>
      <c r="I75" s="45">
        <v>899.99</v>
      </c>
      <c r="J75" s="43" t="s">
        <v>63</v>
      </c>
      <c r="K75" s="43" t="s">
        <v>61</v>
      </c>
      <c r="L75" s="43" t="s">
        <v>149</v>
      </c>
      <c r="M75" s="44">
        <v>45179</v>
      </c>
      <c r="N75" s="45">
        <v>899.99</v>
      </c>
      <c r="O75" s="43" t="str">
        <f t="shared" si="10"/>
        <v>OK</v>
      </c>
      <c r="P75" s="44">
        <f t="shared" si="11"/>
        <v>45504</v>
      </c>
      <c r="Q75" s="43" t="str">
        <f t="shared" si="12"/>
        <v>Jul-24</v>
      </c>
      <c r="R75" s="43">
        <f t="shared" si="13"/>
        <v>0</v>
      </c>
      <c r="S75" s="43">
        <f t="shared" si="14"/>
        <v>10</v>
      </c>
      <c r="T75" s="43">
        <f t="shared" ca="1" si="15"/>
        <v>822</v>
      </c>
      <c r="U75" s="43" t="str">
        <f t="shared" si="16"/>
        <v>SB</v>
      </c>
      <c r="V75" s="43" t="str">
        <f t="shared" si="17"/>
        <v>LAP</v>
      </c>
      <c r="W75" s="43" t="str">
        <f t="shared" si="18"/>
        <v>C-2407-162</v>
      </c>
      <c r="X75" s="43" t="str">
        <f>IF(COUNTIF($D$2:D75,D75)&gt;1,"Repeat","First")</f>
        <v>Repeat</v>
      </c>
      <c r="Y75" s="43" t="str">
        <f>IF(AND(K75=Filter!$B$4,N75&gt;=Filter!$B$5),MAX(Y$1:Y74)+1,"")</f>
        <v/>
      </c>
      <c r="Z75" s="43" t="str">
        <f t="shared" si="19"/>
        <v>2024-07</v>
      </c>
    </row>
    <row r="76" spans="1:26" x14ac:dyDescent="0.2">
      <c r="A76" s="43" t="s">
        <v>301</v>
      </c>
      <c r="B76" s="44">
        <v>45497</v>
      </c>
      <c r="C76" s="43" t="s">
        <v>142</v>
      </c>
      <c r="D76" s="43" t="s">
        <v>143</v>
      </c>
      <c r="E76" s="43" t="s">
        <v>168</v>
      </c>
      <c r="F76" s="43" t="s">
        <v>87</v>
      </c>
      <c r="G76" s="43" t="s">
        <v>67</v>
      </c>
      <c r="H76" s="43">
        <v>5</v>
      </c>
      <c r="I76" s="45">
        <v>899.99</v>
      </c>
      <c r="J76" s="43" t="s">
        <v>73</v>
      </c>
      <c r="K76" s="43" t="s">
        <v>76</v>
      </c>
      <c r="L76" s="43" t="s">
        <v>149</v>
      </c>
      <c r="M76" s="44">
        <v>44899</v>
      </c>
      <c r="N76" s="45">
        <v>4499.95</v>
      </c>
      <c r="O76" s="43" t="str">
        <f t="shared" si="10"/>
        <v>OK</v>
      </c>
      <c r="P76" s="44">
        <f t="shared" si="11"/>
        <v>45504</v>
      </c>
      <c r="Q76" s="43" t="str">
        <f t="shared" si="12"/>
        <v>Jul-24</v>
      </c>
      <c r="R76" s="43">
        <f t="shared" si="13"/>
        <v>1</v>
      </c>
      <c r="S76" s="43">
        <f t="shared" si="14"/>
        <v>19</v>
      </c>
      <c r="T76" s="43">
        <f t="shared" ca="1" si="15"/>
        <v>821</v>
      </c>
      <c r="U76" s="43" t="str">
        <f t="shared" si="16"/>
        <v>JJ</v>
      </c>
      <c r="V76" s="43" t="str">
        <f t="shared" si="17"/>
        <v>LAP</v>
      </c>
      <c r="W76" s="43" t="str">
        <f t="shared" si="18"/>
        <v>S-2407-244</v>
      </c>
      <c r="X76" s="43" t="str">
        <f>IF(COUNTIF($D$2:D76,D76)&gt;1,"Repeat","First")</f>
        <v>Repeat</v>
      </c>
      <c r="Y76" s="43" t="str">
        <f>IF(AND(K76=Filter!$B$4,N76&gt;=Filter!$B$5),MAX(Y$1:Y75)+1,"")</f>
        <v/>
      </c>
      <c r="Z76" s="43" t="str">
        <f t="shared" si="19"/>
        <v>2024-07</v>
      </c>
    </row>
    <row r="77" spans="1:26" x14ac:dyDescent="0.2">
      <c r="A77" s="43" t="s">
        <v>302</v>
      </c>
      <c r="B77" s="44">
        <v>45498</v>
      </c>
      <c r="C77" s="43" t="s">
        <v>282</v>
      </c>
      <c r="D77" s="43" t="s">
        <v>283</v>
      </c>
      <c r="E77" s="43" t="s">
        <v>148</v>
      </c>
      <c r="F77" s="43" t="s">
        <v>65</v>
      </c>
      <c r="G77" s="43" t="s">
        <v>62</v>
      </c>
      <c r="H77" s="43">
        <v>2</v>
      </c>
      <c r="I77" s="45">
        <v>59.99</v>
      </c>
      <c r="J77" s="43" t="s">
        <v>63</v>
      </c>
      <c r="K77" s="43" t="s">
        <v>71</v>
      </c>
      <c r="L77" s="43" t="s">
        <v>149</v>
      </c>
      <c r="M77" s="44">
        <v>45152</v>
      </c>
      <c r="N77" s="45">
        <v>119.98</v>
      </c>
      <c r="O77" s="43" t="str">
        <f t="shared" si="10"/>
        <v>OK</v>
      </c>
      <c r="P77" s="44">
        <f t="shared" si="11"/>
        <v>45504</v>
      </c>
      <c r="Q77" s="43" t="str">
        <f t="shared" si="12"/>
        <v>Jul-24</v>
      </c>
      <c r="R77" s="43">
        <f t="shared" si="13"/>
        <v>0</v>
      </c>
      <c r="S77" s="43">
        <f t="shared" si="14"/>
        <v>11</v>
      </c>
      <c r="T77" s="43">
        <f t="shared" ca="1" si="15"/>
        <v>820</v>
      </c>
      <c r="U77" s="43" t="str">
        <f t="shared" si="16"/>
        <v>DM</v>
      </c>
      <c r="V77" s="43" t="str">
        <f t="shared" si="17"/>
        <v>BLE</v>
      </c>
      <c r="W77" s="43" t="str">
        <f t="shared" si="18"/>
        <v>N-2407-006</v>
      </c>
      <c r="X77" s="43" t="str">
        <f>IF(COUNTIF($D$2:D77,D77)&gt;1,"Repeat","First")</f>
        <v>Repeat</v>
      </c>
      <c r="Y77" s="43" t="str">
        <f>IF(AND(K77=Filter!$B$4,N77&gt;=Filter!$B$5),MAX(Y$1:Y76)+1,"")</f>
        <v/>
      </c>
      <c r="Z77" s="43" t="str">
        <f t="shared" si="19"/>
        <v>2024-07</v>
      </c>
    </row>
    <row r="78" spans="1:26" x14ac:dyDescent="0.2">
      <c r="A78" s="43" t="s">
        <v>303</v>
      </c>
      <c r="B78" s="44">
        <v>45498</v>
      </c>
      <c r="C78" s="43" t="s">
        <v>296</v>
      </c>
      <c r="D78" s="43" t="s">
        <v>297</v>
      </c>
      <c r="E78" s="43" t="s">
        <v>139</v>
      </c>
      <c r="F78" s="43" t="s">
        <v>89</v>
      </c>
      <c r="G78" s="43" t="s">
        <v>67</v>
      </c>
      <c r="H78" s="43">
        <v>4</v>
      </c>
      <c r="I78" s="45">
        <v>249.99</v>
      </c>
      <c r="J78" s="43" t="s">
        <v>73</v>
      </c>
      <c r="K78" s="43" t="s">
        <v>61</v>
      </c>
      <c r="L78" s="43" t="s">
        <v>149</v>
      </c>
      <c r="M78" s="44">
        <v>45127</v>
      </c>
      <c r="N78" s="45">
        <v>999.96</v>
      </c>
      <c r="O78" s="43" t="str">
        <f t="shared" si="10"/>
        <v>OK</v>
      </c>
      <c r="P78" s="44">
        <f t="shared" si="11"/>
        <v>45504</v>
      </c>
      <c r="Q78" s="43" t="str">
        <f t="shared" si="12"/>
        <v>Jul-24</v>
      </c>
      <c r="R78" s="43">
        <f t="shared" si="13"/>
        <v>1</v>
      </c>
      <c r="S78" s="43">
        <f t="shared" si="14"/>
        <v>12</v>
      </c>
      <c r="T78" s="43">
        <f t="shared" ca="1" si="15"/>
        <v>820</v>
      </c>
      <c r="U78" s="43" t="str">
        <f t="shared" si="16"/>
        <v>GM</v>
      </c>
      <c r="V78" s="43" t="str">
        <f t="shared" si="17"/>
        <v>MON</v>
      </c>
      <c r="W78" s="43" t="str">
        <f t="shared" si="18"/>
        <v>C-2407-215</v>
      </c>
      <c r="X78" s="43" t="str">
        <f>IF(COUNTIF($D$2:D78,D78)&gt;1,"Repeat","First")</f>
        <v>Repeat</v>
      </c>
      <c r="Y78" s="43" t="str">
        <f>IF(AND(K78=Filter!$B$4,N78&gt;=Filter!$B$5),MAX(Y$1:Y77)+1,"")</f>
        <v/>
      </c>
      <c r="Z78" s="43" t="str">
        <f t="shared" si="19"/>
        <v>2024-07</v>
      </c>
    </row>
    <row r="79" spans="1:26" x14ac:dyDescent="0.2">
      <c r="A79" s="43" t="s">
        <v>304</v>
      </c>
      <c r="B79" s="44">
        <v>45500</v>
      </c>
      <c r="C79" s="43" t="s">
        <v>200</v>
      </c>
      <c r="D79" s="43" t="s">
        <v>201</v>
      </c>
      <c r="E79" s="43" t="s">
        <v>139</v>
      </c>
      <c r="F79" s="43" t="s">
        <v>89</v>
      </c>
      <c r="G79" s="43" t="s">
        <v>67</v>
      </c>
      <c r="H79" s="43">
        <v>2</v>
      </c>
      <c r="I79" s="45">
        <v>249.99</v>
      </c>
      <c r="J79" s="43" t="s">
        <v>63</v>
      </c>
      <c r="K79" s="43" t="s">
        <v>71</v>
      </c>
      <c r="L79" s="43" t="s">
        <v>144</v>
      </c>
      <c r="M79" s="44">
        <v>45164</v>
      </c>
      <c r="N79" s="45">
        <v>499.98</v>
      </c>
      <c r="O79" s="43" t="str">
        <f t="shared" si="10"/>
        <v>OK</v>
      </c>
      <c r="P79" s="44">
        <f t="shared" si="11"/>
        <v>45504</v>
      </c>
      <c r="Q79" s="43" t="str">
        <f t="shared" si="12"/>
        <v>Jul-24</v>
      </c>
      <c r="R79" s="43">
        <f t="shared" si="13"/>
        <v>0</v>
      </c>
      <c r="S79" s="43">
        <f t="shared" si="14"/>
        <v>11</v>
      </c>
      <c r="T79" s="43">
        <f t="shared" ca="1" si="15"/>
        <v>818</v>
      </c>
      <c r="U79" s="43" t="str">
        <f t="shared" si="16"/>
        <v>BY</v>
      </c>
      <c r="V79" s="43" t="str">
        <f t="shared" si="17"/>
        <v>MON</v>
      </c>
      <c r="W79" s="43" t="str">
        <f t="shared" si="18"/>
        <v>N-2407-080</v>
      </c>
      <c r="X79" s="43" t="str">
        <f>IF(COUNTIF($D$2:D79,D79)&gt;1,"Repeat","First")</f>
        <v>Repeat</v>
      </c>
      <c r="Y79" s="43" t="str">
        <f>IF(AND(K79=Filter!$B$4,N79&gt;=Filter!$B$5),MAX(Y$1:Y78)+1,"")</f>
        <v/>
      </c>
      <c r="Z79" s="43" t="str">
        <f t="shared" si="19"/>
        <v>2024-07</v>
      </c>
    </row>
    <row r="80" spans="1:26" x14ac:dyDescent="0.2">
      <c r="A80" s="43" t="s">
        <v>305</v>
      </c>
      <c r="B80" s="44">
        <v>45500</v>
      </c>
      <c r="C80" s="43" t="s">
        <v>247</v>
      </c>
      <c r="D80" s="43" t="s">
        <v>248</v>
      </c>
      <c r="E80" s="43" t="s">
        <v>209</v>
      </c>
      <c r="F80" s="43" t="s">
        <v>80</v>
      </c>
      <c r="G80" s="43" t="s">
        <v>72</v>
      </c>
      <c r="H80" s="43">
        <v>1</v>
      </c>
      <c r="I80" s="45">
        <v>299.99</v>
      </c>
      <c r="J80" s="43" t="s">
        <v>63</v>
      </c>
      <c r="K80" s="43" t="s">
        <v>76</v>
      </c>
      <c r="L80" s="43" t="s">
        <v>140</v>
      </c>
      <c r="M80" s="44">
        <v>44982</v>
      </c>
      <c r="N80" s="45">
        <v>299.99</v>
      </c>
      <c r="O80" s="43" t="str">
        <f t="shared" si="10"/>
        <v>OK</v>
      </c>
      <c r="P80" s="44">
        <f t="shared" si="11"/>
        <v>45504</v>
      </c>
      <c r="Q80" s="43" t="str">
        <f t="shared" si="12"/>
        <v>Jul-24</v>
      </c>
      <c r="R80" s="43">
        <f t="shared" si="13"/>
        <v>1</v>
      </c>
      <c r="S80" s="43">
        <f t="shared" si="14"/>
        <v>17</v>
      </c>
      <c r="T80" s="43">
        <f t="shared" ca="1" si="15"/>
        <v>818</v>
      </c>
      <c r="U80" s="43" t="str">
        <f t="shared" si="16"/>
        <v>DK</v>
      </c>
      <c r="V80" s="43" t="str">
        <f t="shared" si="17"/>
        <v>DES</v>
      </c>
      <c r="W80" s="43" t="str">
        <f t="shared" si="18"/>
        <v>S-2407-228</v>
      </c>
      <c r="X80" s="43" t="str">
        <f>IF(COUNTIF($D$2:D80,D80)&gt;1,"Repeat","First")</f>
        <v>Repeat</v>
      </c>
      <c r="Y80" s="43" t="str">
        <f>IF(AND(K80=Filter!$B$4,N80&gt;=Filter!$B$5),MAX(Y$1:Y79)+1,"")</f>
        <v/>
      </c>
      <c r="Z80" s="43" t="str">
        <f t="shared" si="19"/>
        <v>2024-07</v>
      </c>
    </row>
    <row r="81" spans="1:26" x14ac:dyDescent="0.2">
      <c r="A81" s="43" t="s">
        <v>306</v>
      </c>
      <c r="B81" s="44">
        <v>45501</v>
      </c>
      <c r="C81" s="43" t="s">
        <v>190</v>
      </c>
      <c r="D81" s="43" t="s">
        <v>191</v>
      </c>
      <c r="E81" s="43" t="s">
        <v>219</v>
      </c>
      <c r="F81" s="43" t="s">
        <v>85</v>
      </c>
      <c r="G81" s="43" t="s">
        <v>67</v>
      </c>
      <c r="H81" s="43">
        <v>2</v>
      </c>
      <c r="I81" s="45">
        <v>89.99</v>
      </c>
      <c r="J81" s="43" t="s">
        <v>78</v>
      </c>
      <c r="K81" s="43" t="s">
        <v>76</v>
      </c>
      <c r="L81" s="43" t="s">
        <v>140</v>
      </c>
      <c r="M81" s="44">
        <v>44976</v>
      </c>
      <c r="N81" s="45">
        <v>179.98</v>
      </c>
      <c r="O81" s="43" t="str">
        <f t="shared" si="10"/>
        <v>OK</v>
      </c>
      <c r="P81" s="44">
        <f t="shared" si="11"/>
        <v>45504</v>
      </c>
      <c r="Q81" s="43" t="str">
        <f t="shared" si="12"/>
        <v>Jul-24</v>
      </c>
      <c r="R81" s="43">
        <f t="shared" si="13"/>
        <v>1</v>
      </c>
      <c r="S81" s="43">
        <f t="shared" si="14"/>
        <v>17</v>
      </c>
      <c r="T81" s="43">
        <f t="shared" ca="1" si="15"/>
        <v>817</v>
      </c>
      <c r="U81" s="43" t="str">
        <f t="shared" si="16"/>
        <v>MC</v>
      </c>
      <c r="V81" s="43" t="str">
        <f t="shared" si="17"/>
        <v>KEY</v>
      </c>
      <c r="W81" s="43" t="str">
        <f t="shared" si="18"/>
        <v>S-2407-157</v>
      </c>
      <c r="X81" s="43" t="str">
        <f>IF(COUNTIF($D$2:D81,D81)&gt;1,"Repeat","First")</f>
        <v>Repeat</v>
      </c>
      <c r="Y81" s="43" t="str">
        <f>IF(AND(K81=Filter!$B$4,N81&gt;=Filter!$B$5),MAX(Y$1:Y80)+1,"")</f>
        <v/>
      </c>
      <c r="Z81" s="43" t="str">
        <f t="shared" si="19"/>
        <v>2024-07</v>
      </c>
    </row>
    <row r="82" spans="1:26" x14ac:dyDescent="0.2">
      <c r="A82" s="43" t="s">
        <v>307</v>
      </c>
      <c r="B82" s="44">
        <v>45501</v>
      </c>
      <c r="C82" s="43" t="s">
        <v>247</v>
      </c>
      <c r="D82" s="43" t="s">
        <v>248</v>
      </c>
      <c r="E82" s="43" t="s">
        <v>209</v>
      </c>
      <c r="F82" s="43" t="s">
        <v>80</v>
      </c>
      <c r="G82" s="43" t="s">
        <v>72</v>
      </c>
      <c r="H82" s="43">
        <v>3</v>
      </c>
      <c r="I82" s="45">
        <v>299.99</v>
      </c>
      <c r="J82" s="43" t="s">
        <v>63</v>
      </c>
      <c r="K82" s="43" t="s">
        <v>61</v>
      </c>
      <c r="L82" s="43" t="s">
        <v>140</v>
      </c>
      <c r="M82" s="44">
        <v>44732</v>
      </c>
      <c r="N82" s="45">
        <v>899.97</v>
      </c>
      <c r="O82" s="43" t="str">
        <f t="shared" si="10"/>
        <v>OK</v>
      </c>
      <c r="P82" s="44">
        <f t="shared" si="11"/>
        <v>45504</v>
      </c>
      <c r="Q82" s="43" t="str">
        <f t="shared" si="12"/>
        <v>Jul-24</v>
      </c>
      <c r="R82" s="43">
        <f t="shared" si="13"/>
        <v>2</v>
      </c>
      <c r="S82" s="43">
        <f t="shared" si="14"/>
        <v>25</v>
      </c>
      <c r="T82" s="43">
        <f t="shared" ca="1" si="15"/>
        <v>817</v>
      </c>
      <c r="U82" s="43" t="str">
        <f t="shared" si="16"/>
        <v>DK</v>
      </c>
      <c r="V82" s="43" t="str">
        <f t="shared" si="17"/>
        <v>DES</v>
      </c>
      <c r="W82" s="43" t="str">
        <f t="shared" si="18"/>
        <v>C-2407-002</v>
      </c>
      <c r="X82" s="43" t="str">
        <f>IF(COUNTIF($D$2:D82,D82)&gt;1,"Repeat","First")</f>
        <v>Repeat</v>
      </c>
      <c r="Y82" s="43" t="str">
        <f>IF(AND(K82=Filter!$B$4,N82&gt;=Filter!$B$5),MAX(Y$1:Y81)+1,"")</f>
        <v/>
      </c>
      <c r="Z82" s="43" t="str">
        <f t="shared" si="19"/>
        <v>2024-07</v>
      </c>
    </row>
    <row r="83" spans="1:26" x14ac:dyDescent="0.2">
      <c r="A83" s="43" t="s">
        <v>308</v>
      </c>
      <c r="B83" s="44">
        <v>45503</v>
      </c>
      <c r="C83" s="43" t="s">
        <v>190</v>
      </c>
      <c r="D83" s="43" t="s">
        <v>191</v>
      </c>
      <c r="E83" s="43" t="s">
        <v>185</v>
      </c>
      <c r="F83" s="43" t="s">
        <v>93</v>
      </c>
      <c r="G83" s="43" t="s">
        <v>67</v>
      </c>
      <c r="H83" s="43">
        <v>2</v>
      </c>
      <c r="I83" s="45">
        <v>699.99</v>
      </c>
      <c r="J83" s="43" t="s">
        <v>68</v>
      </c>
      <c r="K83" s="43" t="s">
        <v>71</v>
      </c>
      <c r="L83" s="43" t="s">
        <v>144</v>
      </c>
      <c r="M83" s="44">
        <v>44999</v>
      </c>
      <c r="N83" s="45">
        <v>1399.98</v>
      </c>
      <c r="O83" s="43" t="str">
        <f t="shared" si="10"/>
        <v>OK</v>
      </c>
      <c r="P83" s="44">
        <f t="shared" si="11"/>
        <v>45504</v>
      </c>
      <c r="Q83" s="43" t="str">
        <f t="shared" si="12"/>
        <v>Jul-24</v>
      </c>
      <c r="R83" s="43">
        <f t="shared" si="13"/>
        <v>1</v>
      </c>
      <c r="S83" s="43">
        <f t="shared" si="14"/>
        <v>16</v>
      </c>
      <c r="T83" s="43">
        <f t="shared" ca="1" si="15"/>
        <v>815</v>
      </c>
      <c r="U83" s="43" t="str">
        <f t="shared" si="16"/>
        <v>MC</v>
      </c>
      <c r="V83" s="43" t="str">
        <f t="shared" si="17"/>
        <v>SMA</v>
      </c>
      <c r="W83" s="43" t="str">
        <f t="shared" si="18"/>
        <v>N-2407-217</v>
      </c>
      <c r="X83" s="43" t="str">
        <f>IF(COUNTIF($D$2:D83,D83)&gt;1,"Repeat","First")</f>
        <v>Repeat</v>
      </c>
      <c r="Y83" s="43" t="str">
        <f>IF(AND(K83=Filter!$B$4,N83&gt;=Filter!$B$5),MAX(Y$1:Y82)+1,"")</f>
        <v/>
      </c>
      <c r="Z83" s="43" t="str">
        <f t="shared" si="19"/>
        <v>2024-07</v>
      </c>
    </row>
    <row r="84" spans="1:26" x14ac:dyDescent="0.2">
      <c r="A84" s="43" t="s">
        <v>309</v>
      </c>
      <c r="B84" s="44">
        <v>45504</v>
      </c>
      <c r="C84" s="43" t="s">
        <v>221</v>
      </c>
      <c r="D84" s="43" t="s">
        <v>222</v>
      </c>
      <c r="E84" s="43" t="s">
        <v>168</v>
      </c>
      <c r="F84" s="43" t="s">
        <v>87</v>
      </c>
      <c r="G84" s="43" t="s">
        <v>67</v>
      </c>
      <c r="H84" s="43">
        <v>4</v>
      </c>
      <c r="I84" s="45">
        <v>899.99</v>
      </c>
      <c r="J84" s="43" t="s">
        <v>73</v>
      </c>
      <c r="K84" s="43" t="s">
        <v>76</v>
      </c>
      <c r="L84" s="43" t="s">
        <v>149</v>
      </c>
      <c r="M84" s="44">
        <v>44523</v>
      </c>
      <c r="N84" s="45">
        <v>3599.96</v>
      </c>
      <c r="O84" s="43" t="str">
        <f t="shared" si="10"/>
        <v>OK</v>
      </c>
      <c r="P84" s="44">
        <f t="shared" si="11"/>
        <v>45504</v>
      </c>
      <c r="Q84" s="43" t="str">
        <f t="shared" si="12"/>
        <v>Jul-24</v>
      </c>
      <c r="R84" s="43">
        <f t="shared" si="13"/>
        <v>2</v>
      </c>
      <c r="S84" s="43">
        <f t="shared" si="14"/>
        <v>32</v>
      </c>
      <c r="T84" s="43">
        <f t="shared" ca="1" si="15"/>
        <v>814</v>
      </c>
      <c r="U84" s="43" t="str">
        <f t="shared" si="16"/>
        <v>HR</v>
      </c>
      <c r="V84" s="43" t="str">
        <f t="shared" si="17"/>
        <v>LAP</v>
      </c>
      <c r="W84" s="43" t="str">
        <f t="shared" si="18"/>
        <v>S-2407-249</v>
      </c>
      <c r="X84" s="43" t="str">
        <f>IF(COUNTIF($D$2:D84,D84)&gt;1,"Repeat","First")</f>
        <v>Repeat</v>
      </c>
      <c r="Y84" s="43" t="str">
        <f>IF(AND(K84=Filter!$B$4,N84&gt;=Filter!$B$5),MAX(Y$1:Y83)+1,"")</f>
        <v/>
      </c>
      <c r="Z84" s="43" t="str">
        <f t="shared" si="19"/>
        <v>2024-07</v>
      </c>
    </row>
    <row r="85" spans="1:26" x14ac:dyDescent="0.2">
      <c r="A85" s="43" t="s">
        <v>310</v>
      </c>
      <c r="B85" s="44">
        <v>45509</v>
      </c>
      <c r="C85" s="43" t="s">
        <v>311</v>
      </c>
      <c r="D85" s="43" t="s">
        <v>312</v>
      </c>
      <c r="E85" s="43" t="s">
        <v>156</v>
      </c>
      <c r="F85" s="43" t="s">
        <v>70</v>
      </c>
      <c r="G85" s="43" t="s">
        <v>72</v>
      </c>
      <c r="H85" s="43">
        <v>2</v>
      </c>
      <c r="I85" s="45">
        <v>149.99</v>
      </c>
      <c r="J85" s="43" t="s">
        <v>68</v>
      </c>
      <c r="K85" s="43" t="s">
        <v>81</v>
      </c>
      <c r="L85" s="43" t="s">
        <v>140</v>
      </c>
      <c r="M85" s="44">
        <v>44542</v>
      </c>
      <c r="N85" s="45">
        <v>299.98</v>
      </c>
      <c r="O85" s="43" t="str">
        <f t="shared" si="10"/>
        <v>OK</v>
      </c>
      <c r="P85" s="44">
        <f t="shared" si="11"/>
        <v>45535</v>
      </c>
      <c r="Q85" s="43" t="str">
        <f t="shared" si="12"/>
        <v>Aug-24</v>
      </c>
      <c r="R85" s="43">
        <f t="shared" si="13"/>
        <v>2</v>
      </c>
      <c r="S85" s="43">
        <f t="shared" si="14"/>
        <v>31</v>
      </c>
      <c r="T85" s="43">
        <f t="shared" ca="1" si="15"/>
        <v>809</v>
      </c>
      <c r="U85" s="43" t="str">
        <f t="shared" si="16"/>
        <v>EH</v>
      </c>
      <c r="V85" s="43" t="str">
        <f t="shared" si="17"/>
        <v>BOO</v>
      </c>
      <c r="W85" s="43" t="str">
        <f t="shared" si="18"/>
        <v>W-2408-065</v>
      </c>
      <c r="X85" s="43" t="str">
        <f>IF(COUNTIF($D$2:D85,D85)&gt;1,"Repeat","First")</f>
        <v>First</v>
      </c>
      <c r="Y85" s="43" t="str">
        <f>IF(AND(K85=Filter!$B$4,N85&gt;=Filter!$B$5),MAX(Y$1:Y84)+1,"")</f>
        <v/>
      </c>
      <c r="Z85" s="43" t="str">
        <f t="shared" si="19"/>
        <v>2024-08</v>
      </c>
    </row>
    <row r="86" spans="1:26" x14ac:dyDescent="0.2">
      <c r="A86" s="43" t="s">
        <v>313</v>
      </c>
      <c r="B86" s="44">
        <v>45510</v>
      </c>
      <c r="C86" s="43" t="s">
        <v>206</v>
      </c>
      <c r="D86" s="43" t="s">
        <v>207</v>
      </c>
      <c r="E86" s="43" t="s">
        <v>156</v>
      </c>
      <c r="F86" s="43" t="s">
        <v>70</v>
      </c>
      <c r="G86" s="43" t="s">
        <v>72</v>
      </c>
      <c r="H86" s="43">
        <v>2</v>
      </c>
      <c r="I86" s="45">
        <v>149.99</v>
      </c>
      <c r="J86" s="43" t="s">
        <v>73</v>
      </c>
      <c r="K86" s="43" t="s">
        <v>66</v>
      </c>
      <c r="L86" s="43" t="s">
        <v>149</v>
      </c>
      <c r="M86" s="44">
        <v>44667</v>
      </c>
      <c r="N86" s="45">
        <v>299.98</v>
      </c>
      <c r="O86" s="43" t="str">
        <f t="shared" si="10"/>
        <v>OK</v>
      </c>
      <c r="P86" s="44">
        <f t="shared" si="11"/>
        <v>45535</v>
      </c>
      <c r="Q86" s="43" t="str">
        <f t="shared" si="12"/>
        <v>Aug-24</v>
      </c>
      <c r="R86" s="43">
        <f t="shared" si="13"/>
        <v>2</v>
      </c>
      <c r="S86" s="43">
        <f t="shared" si="14"/>
        <v>27</v>
      </c>
      <c r="T86" s="43">
        <f t="shared" ca="1" si="15"/>
        <v>808</v>
      </c>
      <c r="U86" s="43" t="str">
        <f t="shared" si="16"/>
        <v>CP</v>
      </c>
      <c r="V86" s="43" t="str">
        <f t="shared" si="17"/>
        <v>BOO</v>
      </c>
      <c r="W86" s="43" t="str">
        <f t="shared" si="18"/>
        <v>E-2408-176</v>
      </c>
      <c r="X86" s="43" t="str">
        <f>IF(COUNTIF($D$2:D86,D86)&gt;1,"Repeat","First")</f>
        <v>Repeat</v>
      </c>
      <c r="Y86" s="43" t="str">
        <f>IF(AND(K86=Filter!$B$4,N86&gt;=Filter!$B$5),MAX(Y$1:Y85)+1,"")</f>
        <v/>
      </c>
      <c r="Z86" s="43" t="str">
        <f t="shared" si="19"/>
        <v>2024-08</v>
      </c>
    </row>
    <row r="87" spans="1:26" x14ac:dyDescent="0.2">
      <c r="A87" s="43" t="s">
        <v>314</v>
      </c>
      <c r="B87" s="44">
        <v>45513</v>
      </c>
      <c r="C87" s="43" t="s">
        <v>193</v>
      </c>
      <c r="D87" s="43" t="s">
        <v>194</v>
      </c>
      <c r="E87" s="43" t="s">
        <v>219</v>
      </c>
      <c r="F87" s="43" t="s">
        <v>85</v>
      </c>
      <c r="G87" s="43" t="s">
        <v>67</v>
      </c>
      <c r="H87" s="43">
        <v>1</v>
      </c>
      <c r="I87" s="45">
        <v>89.99</v>
      </c>
      <c r="J87" s="43" t="s">
        <v>68</v>
      </c>
      <c r="K87" s="43" t="s">
        <v>71</v>
      </c>
      <c r="L87" s="43" t="s">
        <v>149</v>
      </c>
      <c r="M87" s="44">
        <v>45393</v>
      </c>
      <c r="N87" s="45">
        <v>89.99</v>
      </c>
      <c r="O87" s="43" t="str">
        <f t="shared" si="10"/>
        <v>OK</v>
      </c>
      <c r="P87" s="44">
        <f t="shared" si="11"/>
        <v>45535</v>
      </c>
      <c r="Q87" s="43" t="str">
        <f t="shared" si="12"/>
        <v>Aug-24</v>
      </c>
      <c r="R87" s="43">
        <f t="shared" si="13"/>
        <v>0</v>
      </c>
      <c r="S87" s="43">
        <f t="shared" si="14"/>
        <v>3</v>
      </c>
      <c r="T87" s="43">
        <f t="shared" ca="1" si="15"/>
        <v>805</v>
      </c>
      <c r="U87" s="43" t="str">
        <f t="shared" si="16"/>
        <v>MG</v>
      </c>
      <c r="V87" s="43" t="str">
        <f t="shared" si="17"/>
        <v>KEY</v>
      </c>
      <c r="W87" s="43" t="str">
        <f t="shared" si="18"/>
        <v>N-2408-101</v>
      </c>
      <c r="X87" s="43" t="str">
        <f>IF(COUNTIF($D$2:D87,D87)&gt;1,"Repeat","First")</f>
        <v>Repeat</v>
      </c>
      <c r="Y87" s="43" t="str">
        <f>IF(AND(K87=Filter!$B$4,N87&gt;=Filter!$B$5),MAX(Y$1:Y86)+1,"")</f>
        <v/>
      </c>
      <c r="Z87" s="43" t="str">
        <f t="shared" si="19"/>
        <v>2024-08</v>
      </c>
    </row>
    <row r="88" spans="1:26" x14ac:dyDescent="0.2">
      <c r="A88" s="43" t="s">
        <v>315</v>
      </c>
      <c r="B88" s="44">
        <v>45515</v>
      </c>
      <c r="C88" s="43" t="s">
        <v>190</v>
      </c>
      <c r="D88" s="43" t="s">
        <v>191</v>
      </c>
      <c r="E88" s="43" t="s">
        <v>209</v>
      </c>
      <c r="F88" s="43" t="s">
        <v>80</v>
      </c>
      <c r="G88" s="43" t="s">
        <v>72</v>
      </c>
      <c r="H88" s="43">
        <v>5</v>
      </c>
      <c r="I88" s="45">
        <v>299.99</v>
      </c>
      <c r="J88" s="43" t="s">
        <v>68</v>
      </c>
      <c r="K88" s="43" t="s">
        <v>71</v>
      </c>
      <c r="L88" s="43" t="s">
        <v>140</v>
      </c>
      <c r="M88" s="44">
        <v>44965</v>
      </c>
      <c r="N88" s="45">
        <v>1499.95</v>
      </c>
      <c r="O88" s="43" t="str">
        <f t="shared" si="10"/>
        <v>OK</v>
      </c>
      <c r="P88" s="44">
        <f t="shared" si="11"/>
        <v>45535</v>
      </c>
      <c r="Q88" s="43" t="str">
        <f t="shared" si="12"/>
        <v>Aug-24</v>
      </c>
      <c r="R88" s="43">
        <f t="shared" si="13"/>
        <v>1</v>
      </c>
      <c r="S88" s="43">
        <f t="shared" si="14"/>
        <v>18</v>
      </c>
      <c r="T88" s="43">
        <f t="shared" ca="1" si="15"/>
        <v>803</v>
      </c>
      <c r="U88" s="43" t="str">
        <f t="shared" si="16"/>
        <v>MC</v>
      </c>
      <c r="V88" s="43" t="str">
        <f t="shared" si="17"/>
        <v>DES</v>
      </c>
      <c r="W88" s="43" t="str">
        <f t="shared" si="18"/>
        <v>N-2408-205</v>
      </c>
      <c r="X88" s="43" t="str">
        <f>IF(COUNTIF($D$2:D88,D88)&gt;1,"Repeat","First")</f>
        <v>Repeat</v>
      </c>
      <c r="Y88" s="43" t="str">
        <f>IF(AND(K88=Filter!$B$4,N88&gt;=Filter!$B$5),MAX(Y$1:Y87)+1,"")</f>
        <v/>
      </c>
      <c r="Z88" s="43" t="str">
        <f t="shared" si="19"/>
        <v>2024-08</v>
      </c>
    </row>
    <row r="89" spans="1:26" x14ac:dyDescent="0.2">
      <c r="A89" s="43" t="s">
        <v>316</v>
      </c>
      <c r="B89" s="44">
        <v>45517</v>
      </c>
      <c r="C89" s="43" t="s">
        <v>282</v>
      </c>
      <c r="D89" s="43" t="s">
        <v>283</v>
      </c>
      <c r="E89" s="43" t="s">
        <v>161</v>
      </c>
      <c r="F89" s="43" t="s">
        <v>83</v>
      </c>
      <c r="G89" s="43" t="s">
        <v>67</v>
      </c>
      <c r="H89" s="43">
        <v>4</v>
      </c>
      <c r="I89" s="45">
        <v>149.99</v>
      </c>
      <c r="J89" s="43" t="s">
        <v>73</v>
      </c>
      <c r="K89" s="43" t="s">
        <v>76</v>
      </c>
      <c r="L89" s="43" t="s">
        <v>144</v>
      </c>
      <c r="M89" s="44">
        <v>44820</v>
      </c>
      <c r="N89" s="45">
        <v>599.96</v>
      </c>
      <c r="O89" s="43" t="str">
        <f t="shared" si="10"/>
        <v>OK</v>
      </c>
      <c r="P89" s="44">
        <f t="shared" si="11"/>
        <v>45535</v>
      </c>
      <c r="Q89" s="43" t="str">
        <f t="shared" si="12"/>
        <v>Aug-24</v>
      </c>
      <c r="R89" s="43">
        <f t="shared" si="13"/>
        <v>1</v>
      </c>
      <c r="S89" s="43">
        <f t="shared" si="14"/>
        <v>22</v>
      </c>
      <c r="T89" s="43">
        <f t="shared" ca="1" si="15"/>
        <v>801</v>
      </c>
      <c r="U89" s="43" t="str">
        <f t="shared" si="16"/>
        <v>DM</v>
      </c>
      <c r="V89" s="43" t="str">
        <f t="shared" si="17"/>
        <v>HEA</v>
      </c>
      <c r="W89" s="43" t="str">
        <f t="shared" si="18"/>
        <v>S-2408-020</v>
      </c>
      <c r="X89" s="43" t="str">
        <f>IF(COUNTIF($D$2:D89,D89)&gt;1,"Repeat","First")</f>
        <v>Repeat</v>
      </c>
      <c r="Y89" s="43" t="str">
        <f>IF(AND(K89=Filter!$B$4,N89&gt;=Filter!$B$5),MAX(Y$1:Y88)+1,"")</f>
        <v/>
      </c>
      <c r="Z89" s="43" t="str">
        <f t="shared" si="19"/>
        <v>2024-08</v>
      </c>
    </row>
    <row r="90" spans="1:26" x14ac:dyDescent="0.2">
      <c r="A90" s="43" t="s">
        <v>317</v>
      </c>
      <c r="B90" s="44">
        <v>45517</v>
      </c>
      <c r="C90" s="43" t="s">
        <v>285</v>
      </c>
      <c r="D90" s="43" t="s">
        <v>286</v>
      </c>
      <c r="E90" s="43" t="s">
        <v>139</v>
      </c>
      <c r="F90" s="43" t="s">
        <v>89</v>
      </c>
      <c r="G90" s="43" t="s">
        <v>67</v>
      </c>
      <c r="H90" s="43">
        <v>5</v>
      </c>
      <c r="I90" s="45">
        <v>249.99</v>
      </c>
      <c r="J90" s="43" t="s">
        <v>78</v>
      </c>
      <c r="K90" s="43" t="s">
        <v>66</v>
      </c>
      <c r="L90" s="43" t="s">
        <v>144</v>
      </c>
      <c r="M90" s="44">
        <v>44782</v>
      </c>
      <c r="N90" s="45">
        <v>1249.95</v>
      </c>
      <c r="O90" s="43" t="str">
        <f t="shared" si="10"/>
        <v>OK</v>
      </c>
      <c r="P90" s="44">
        <f t="shared" si="11"/>
        <v>45535</v>
      </c>
      <c r="Q90" s="43" t="str">
        <f t="shared" si="12"/>
        <v>Aug-24</v>
      </c>
      <c r="R90" s="43">
        <f t="shared" si="13"/>
        <v>2</v>
      </c>
      <c r="S90" s="43">
        <f t="shared" si="14"/>
        <v>24</v>
      </c>
      <c r="T90" s="43">
        <f t="shared" ca="1" si="15"/>
        <v>801</v>
      </c>
      <c r="U90" s="43" t="str">
        <f t="shared" si="16"/>
        <v>MW</v>
      </c>
      <c r="V90" s="43" t="str">
        <f t="shared" si="17"/>
        <v>MON</v>
      </c>
      <c r="W90" s="43" t="str">
        <f t="shared" si="18"/>
        <v>E-2408-075</v>
      </c>
      <c r="X90" s="43" t="str">
        <f>IF(COUNTIF($D$2:D90,D90)&gt;1,"Repeat","First")</f>
        <v>Repeat</v>
      </c>
      <c r="Y90" s="43" t="str">
        <f>IF(AND(K90=Filter!$B$4,N90&gt;=Filter!$B$5),MAX(Y$1:Y89)+1,"")</f>
        <v/>
      </c>
      <c r="Z90" s="43" t="str">
        <f t="shared" si="19"/>
        <v>2024-08</v>
      </c>
    </row>
    <row r="91" spans="1:26" x14ac:dyDescent="0.2">
      <c r="A91" s="43" t="s">
        <v>318</v>
      </c>
      <c r="B91" s="44">
        <v>45517</v>
      </c>
      <c r="C91" s="43" t="s">
        <v>170</v>
      </c>
      <c r="D91" s="43" t="s">
        <v>171</v>
      </c>
      <c r="E91" s="43" t="s">
        <v>139</v>
      </c>
      <c r="F91" s="43" t="s">
        <v>89</v>
      </c>
      <c r="G91" s="43" t="s">
        <v>67</v>
      </c>
      <c r="H91" s="43">
        <v>3</v>
      </c>
      <c r="I91" s="45">
        <v>249.99</v>
      </c>
      <c r="J91" s="43" t="s">
        <v>78</v>
      </c>
      <c r="K91" s="43" t="s">
        <v>71</v>
      </c>
      <c r="L91" s="43" t="s">
        <v>144</v>
      </c>
      <c r="M91" s="44">
        <v>44465</v>
      </c>
      <c r="N91" s="45">
        <v>749.97</v>
      </c>
      <c r="O91" s="43" t="str">
        <f t="shared" si="10"/>
        <v>OK</v>
      </c>
      <c r="P91" s="44">
        <f t="shared" si="11"/>
        <v>45535</v>
      </c>
      <c r="Q91" s="43" t="str">
        <f t="shared" si="12"/>
        <v>Aug-24</v>
      </c>
      <c r="R91" s="43">
        <f t="shared" si="13"/>
        <v>2</v>
      </c>
      <c r="S91" s="43">
        <f t="shared" si="14"/>
        <v>34</v>
      </c>
      <c r="T91" s="43">
        <f t="shared" ca="1" si="15"/>
        <v>801</v>
      </c>
      <c r="U91" s="43" t="str">
        <f t="shared" si="16"/>
        <v>KH</v>
      </c>
      <c r="V91" s="43" t="str">
        <f t="shared" si="17"/>
        <v>MON</v>
      </c>
      <c r="W91" s="43" t="str">
        <f t="shared" si="18"/>
        <v>N-2408-098</v>
      </c>
      <c r="X91" s="43" t="str">
        <f>IF(COUNTIF($D$2:D91,D91)&gt;1,"Repeat","First")</f>
        <v>Repeat</v>
      </c>
      <c r="Y91" s="43" t="str">
        <f>IF(AND(K91=Filter!$B$4,N91&gt;=Filter!$B$5),MAX(Y$1:Y90)+1,"")</f>
        <v/>
      </c>
      <c r="Z91" s="43" t="str">
        <f t="shared" si="19"/>
        <v>2024-08</v>
      </c>
    </row>
    <row r="92" spans="1:26" x14ac:dyDescent="0.2">
      <c r="A92" s="43" t="s">
        <v>319</v>
      </c>
      <c r="B92" s="44">
        <v>45517</v>
      </c>
      <c r="C92" s="43" t="s">
        <v>151</v>
      </c>
      <c r="D92" s="43" t="s">
        <v>152</v>
      </c>
      <c r="E92" s="43" t="s">
        <v>227</v>
      </c>
      <c r="F92" s="43" t="s">
        <v>91</v>
      </c>
      <c r="G92" s="43" t="s">
        <v>72</v>
      </c>
      <c r="H92" s="43">
        <v>4</v>
      </c>
      <c r="I92" s="45">
        <v>199.99</v>
      </c>
      <c r="J92" s="43" t="s">
        <v>63</v>
      </c>
      <c r="K92" s="43" t="s">
        <v>71</v>
      </c>
      <c r="L92" s="43" t="s">
        <v>149</v>
      </c>
      <c r="M92" s="44">
        <v>44458</v>
      </c>
      <c r="N92" s="45">
        <v>799.96</v>
      </c>
      <c r="O92" s="43" t="str">
        <f t="shared" si="10"/>
        <v>OK</v>
      </c>
      <c r="P92" s="44">
        <f t="shared" si="11"/>
        <v>45535</v>
      </c>
      <c r="Q92" s="43" t="str">
        <f t="shared" si="12"/>
        <v>Aug-24</v>
      </c>
      <c r="R92" s="43">
        <f t="shared" si="13"/>
        <v>2</v>
      </c>
      <c r="S92" s="43">
        <f t="shared" si="14"/>
        <v>34</v>
      </c>
      <c r="T92" s="43">
        <f t="shared" ca="1" si="15"/>
        <v>801</v>
      </c>
      <c r="U92" s="43" t="str">
        <f t="shared" si="16"/>
        <v>KB</v>
      </c>
      <c r="V92" s="43" t="str">
        <f t="shared" si="17"/>
        <v>OFF</v>
      </c>
      <c r="W92" s="43" t="str">
        <f t="shared" si="18"/>
        <v>N-2408-247</v>
      </c>
      <c r="X92" s="43" t="str">
        <f>IF(COUNTIF($D$2:D92,D92)&gt;1,"Repeat","First")</f>
        <v>Repeat</v>
      </c>
      <c r="Y92" s="43" t="str">
        <f>IF(AND(K92=Filter!$B$4,N92&gt;=Filter!$B$5),MAX(Y$1:Y91)+1,"")</f>
        <v/>
      </c>
      <c r="Z92" s="43" t="str">
        <f t="shared" si="19"/>
        <v>2024-08</v>
      </c>
    </row>
    <row r="93" spans="1:26" x14ac:dyDescent="0.2">
      <c r="A93" s="43" t="s">
        <v>320</v>
      </c>
      <c r="B93" s="44">
        <v>45519</v>
      </c>
      <c r="C93" s="43" t="s">
        <v>258</v>
      </c>
      <c r="D93" s="43" t="s">
        <v>259</v>
      </c>
      <c r="E93" s="43" t="s">
        <v>227</v>
      </c>
      <c r="F93" s="43" t="s">
        <v>91</v>
      </c>
      <c r="G93" s="43" t="s">
        <v>72</v>
      </c>
      <c r="H93" s="43">
        <v>5</v>
      </c>
      <c r="I93" s="45">
        <v>199.99</v>
      </c>
      <c r="J93" s="43" t="s">
        <v>63</v>
      </c>
      <c r="K93" s="43" t="s">
        <v>71</v>
      </c>
      <c r="L93" s="43" t="s">
        <v>144</v>
      </c>
      <c r="M93" s="44">
        <v>44991</v>
      </c>
      <c r="N93" s="45">
        <v>999.95</v>
      </c>
      <c r="O93" s="43" t="str">
        <f t="shared" si="10"/>
        <v>OK</v>
      </c>
      <c r="P93" s="44">
        <f t="shared" si="11"/>
        <v>45535</v>
      </c>
      <c r="Q93" s="43" t="str">
        <f t="shared" si="12"/>
        <v>Aug-24</v>
      </c>
      <c r="R93" s="43">
        <f t="shared" si="13"/>
        <v>1</v>
      </c>
      <c r="S93" s="43">
        <f t="shared" si="14"/>
        <v>17</v>
      </c>
      <c r="T93" s="43">
        <f t="shared" ca="1" si="15"/>
        <v>799</v>
      </c>
      <c r="U93" s="43" t="str">
        <f t="shared" si="16"/>
        <v>BC</v>
      </c>
      <c r="V93" s="43" t="str">
        <f t="shared" si="17"/>
        <v>OFF</v>
      </c>
      <c r="W93" s="43" t="str">
        <f t="shared" si="18"/>
        <v>N-2408-027</v>
      </c>
      <c r="X93" s="43" t="str">
        <f>IF(COUNTIF($D$2:D93,D93)&gt;1,"Repeat","First")</f>
        <v>Repeat</v>
      </c>
      <c r="Y93" s="43" t="str">
        <f>IF(AND(K93=Filter!$B$4,N93&gt;=Filter!$B$5),MAX(Y$1:Y92)+1,"")</f>
        <v/>
      </c>
      <c r="Z93" s="43" t="str">
        <f t="shared" si="19"/>
        <v>2024-08</v>
      </c>
    </row>
    <row r="94" spans="1:26" x14ac:dyDescent="0.2">
      <c r="A94" s="43" t="s">
        <v>321</v>
      </c>
      <c r="B94" s="44">
        <v>45522</v>
      </c>
      <c r="C94" s="43" t="s">
        <v>190</v>
      </c>
      <c r="D94" s="43" t="s">
        <v>191</v>
      </c>
      <c r="E94" s="43" t="s">
        <v>219</v>
      </c>
      <c r="F94" s="43" t="s">
        <v>85</v>
      </c>
      <c r="G94" s="43" t="s">
        <v>67</v>
      </c>
      <c r="H94" s="43">
        <v>2</v>
      </c>
      <c r="I94" s="45">
        <v>89.99</v>
      </c>
      <c r="J94" s="43" t="s">
        <v>63</v>
      </c>
      <c r="K94" s="43" t="s">
        <v>66</v>
      </c>
      <c r="L94" s="43" t="s">
        <v>144</v>
      </c>
      <c r="M94" s="44">
        <v>44972</v>
      </c>
      <c r="N94" s="45">
        <v>179.98</v>
      </c>
      <c r="O94" s="43" t="str">
        <f t="shared" si="10"/>
        <v>OK</v>
      </c>
      <c r="P94" s="44">
        <f t="shared" si="11"/>
        <v>45535</v>
      </c>
      <c r="Q94" s="43" t="str">
        <f t="shared" si="12"/>
        <v>Aug-24</v>
      </c>
      <c r="R94" s="43">
        <f t="shared" si="13"/>
        <v>1</v>
      </c>
      <c r="S94" s="43">
        <f t="shared" si="14"/>
        <v>18</v>
      </c>
      <c r="T94" s="43">
        <f t="shared" ca="1" si="15"/>
        <v>796</v>
      </c>
      <c r="U94" s="43" t="str">
        <f t="shared" si="16"/>
        <v>MC</v>
      </c>
      <c r="V94" s="43" t="str">
        <f t="shared" si="17"/>
        <v>KEY</v>
      </c>
      <c r="W94" s="43" t="str">
        <f t="shared" si="18"/>
        <v>E-2408-140</v>
      </c>
      <c r="X94" s="43" t="str">
        <f>IF(COUNTIF($D$2:D94,D94)&gt;1,"Repeat","First")</f>
        <v>Repeat</v>
      </c>
      <c r="Y94" s="43" t="str">
        <f>IF(AND(K94=Filter!$B$4,N94&gt;=Filter!$B$5),MAX(Y$1:Y93)+1,"")</f>
        <v/>
      </c>
      <c r="Z94" s="43" t="str">
        <f t="shared" si="19"/>
        <v>2024-08</v>
      </c>
    </row>
    <row r="95" spans="1:26" x14ac:dyDescent="0.2">
      <c r="A95" s="43" t="s">
        <v>322</v>
      </c>
      <c r="B95" s="44">
        <v>45523</v>
      </c>
      <c r="C95" s="43" t="s">
        <v>296</v>
      </c>
      <c r="D95" s="43" t="s">
        <v>297</v>
      </c>
      <c r="E95" s="43" t="s">
        <v>168</v>
      </c>
      <c r="F95" s="43" t="s">
        <v>87</v>
      </c>
      <c r="G95" s="43" t="s">
        <v>67</v>
      </c>
      <c r="H95" s="43">
        <v>5</v>
      </c>
      <c r="I95" s="45">
        <v>899.99</v>
      </c>
      <c r="J95" s="43" t="s">
        <v>73</v>
      </c>
      <c r="K95" s="43" t="s">
        <v>66</v>
      </c>
      <c r="L95" s="43" t="s">
        <v>140</v>
      </c>
      <c r="M95" s="44">
        <v>44526</v>
      </c>
      <c r="N95" s="45">
        <v>4499.95</v>
      </c>
      <c r="O95" s="43" t="str">
        <f t="shared" si="10"/>
        <v>OK</v>
      </c>
      <c r="P95" s="44">
        <f t="shared" si="11"/>
        <v>45535</v>
      </c>
      <c r="Q95" s="43" t="str">
        <f t="shared" si="12"/>
        <v>Aug-24</v>
      </c>
      <c r="R95" s="43">
        <f t="shared" si="13"/>
        <v>2</v>
      </c>
      <c r="S95" s="43">
        <f t="shared" si="14"/>
        <v>32</v>
      </c>
      <c r="T95" s="43">
        <f t="shared" ca="1" si="15"/>
        <v>795</v>
      </c>
      <c r="U95" s="43" t="str">
        <f t="shared" si="16"/>
        <v>GM</v>
      </c>
      <c r="V95" s="43" t="str">
        <f t="shared" si="17"/>
        <v>LAP</v>
      </c>
      <c r="W95" s="43" t="str">
        <f t="shared" si="18"/>
        <v>E-2408-132</v>
      </c>
      <c r="X95" s="43" t="str">
        <f>IF(COUNTIF($D$2:D95,D95)&gt;1,"Repeat","First")</f>
        <v>Repeat</v>
      </c>
      <c r="Y95" s="43" t="str">
        <f>IF(AND(K95=Filter!$B$4,N95&gt;=Filter!$B$5),MAX(Y$1:Y94)+1,"")</f>
        <v/>
      </c>
      <c r="Z95" s="43" t="str">
        <f t="shared" si="19"/>
        <v>2024-08</v>
      </c>
    </row>
    <row r="96" spans="1:26" x14ac:dyDescent="0.2">
      <c r="A96" s="43" t="s">
        <v>323</v>
      </c>
      <c r="B96" s="44">
        <v>45523</v>
      </c>
      <c r="C96" s="43" t="s">
        <v>211</v>
      </c>
      <c r="D96" s="43" t="s">
        <v>212</v>
      </c>
      <c r="E96" s="43" t="s">
        <v>161</v>
      </c>
      <c r="F96" s="43" t="s">
        <v>83</v>
      </c>
      <c r="G96" s="43" t="s">
        <v>67</v>
      </c>
      <c r="H96" s="43">
        <v>3</v>
      </c>
      <c r="I96" s="45">
        <v>149.99</v>
      </c>
      <c r="J96" s="43" t="s">
        <v>78</v>
      </c>
      <c r="K96" s="43" t="s">
        <v>66</v>
      </c>
      <c r="L96" s="43" t="s">
        <v>140</v>
      </c>
      <c r="M96" s="44">
        <v>44574</v>
      </c>
      <c r="N96" s="45">
        <v>449.97</v>
      </c>
      <c r="O96" s="43" t="str">
        <f t="shared" si="10"/>
        <v>OK</v>
      </c>
      <c r="P96" s="44">
        <f t="shared" si="11"/>
        <v>45535</v>
      </c>
      <c r="Q96" s="43" t="str">
        <f t="shared" si="12"/>
        <v>Aug-24</v>
      </c>
      <c r="R96" s="43">
        <f t="shared" si="13"/>
        <v>2</v>
      </c>
      <c r="S96" s="43">
        <f t="shared" si="14"/>
        <v>31</v>
      </c>
      <c r="T96" s="43">
        <f t="shared" ca="1" si="15"/>
        <v>795</v>
      </c>
      <c r="U96" s="43" t="str">
        <f t="shared" si="16"/>
        <v>NC</v>
      </c>
      <c r="V96" s="43" t="str">
        <f t="shared" si="17"/>
        <v>HEA</v>
      </c>
      <c r="W96" s="43" t="str">
        <f t="shared" si="18"/>
        <v>E-2408-031</v>
      </c>
      <c r="X96" s="43" t="str">
        <f>IF(COUNTIF($D$2:D96,D96)&gt;1,"Repeat","First")</f>
        <v>Repeat</v>
      </c>
      <c r="Y96" s="43" t="str">
        <f>IF(AND(K96=Filter!$B$4,N96&gt;=Filter!$B$5),MAX(Y$1:Y95)+1,"")</f>
        <v/>
      </c>
      <c r="Z96" s="43" t="str">
        <f t="shared" si="19"/>
        <v>2024-08</v>
      </c>
    </row>
    <row r="97" spans="1:26" x14ac:dyDescent="0.2">
      <c r="A97" s="43" t="s">
        <v>324</v>
      </c>
      <c r="B97" s="44">
        <v>45526</v>
      </c>
      <c r="C97" s="43" t="s">
        <v>206</v>
      </c>
      <c r="D97" s="43" t="s">
        <v>207</v>
      </c>
      <c r="E97" s="43" t="s">
        <v>156</v>
      </c>
      <c r="F97" s="43" t="s">
        <v>70</v>
      </c>
      <c r="G97" s="43" t="s">
        <v>72</v>
      </c>
      <c r="H97" s="43">
        <v>5</v>
      </c>
      <c r="I97" s="45">
        <v>149.99</v>
      </c>
      <c r="J97" s="43" t="s">
        <v>68</v>
      </c>
      <c r="K97" s="43" t="s">
        <v>61</v>
      </c>
      <c r="L97" s="43" t="s">
        <v>140</v>
      </c>
      <c r="M97" s="44">
        <v>45310</v>
      </c>
      <c r="N97" s="45">
        <v>749.95</v>
      </c>
      <c r="O97" s="43" t="str">
        <f t="shared" si="10"/>
        <v>OK</v>
      </c>
      <c r="P97" s="44">
        <f t="shared" si="11"/>
        <v>45535</v>
      </c>
      <c r="Q97" s="43" t="str">
        <f t="shared" si="12"/>
        <v>Aug-24</v>
      </c>
      <c r="R97" s="43">
        <f t="shared" si="13"/>
        <v>0</v>
      </c>
      <c r="S97" s="43">
        <f t="shared" si="14"/>
        <v>7</v>
      </c>
      <c r="T97" s="43">
        <f t="shared" ca="1" si="15"/>
        <v>792</v>
      </c>
      <c r="U97" s="43" t="str">
        <f t="shared" si="16"/>
        <v>CP</v>
      </c>
      <c r="V97" s="43" t="str">
        <f t="shared" si="17"/>
        <v>BOO</v>
      </c>
      <c r="W97" s="43" t="str">
        <f t="shared" si="18"/>
        <v>C-2408-236</v>
      </c>
      <c r="X97" s="43" t="str">
        <f>IF(COUNTIF($D$2:D97,D97)&gt;1,"Repeat","First")</f>
        <v>Repeat</v>
      </c>
      <c r="Y97" s="43" t="str">
        <f>IF(AND(K97=Filter!$B$4,N97&gt;=Filter!$B$5),MAX(Y$1:Y96)+1,"")</f>
        <v/>
      </c>
      <c r="Z97" s="43" t="str">
        <f t="shared" si="19"/>
        <v>2024-08</v>
      </c>
    </row>
    <row r="98" spans="1:26" x14ac:dyDescent="0.2">
      <c r="A98" s="43" t="s">
        <v>325</v>
      </c>
      <c r="B98" s="44">
        <v>45528</v>
      </c>
      <c r="C98" s="43" t="s">
        <v>326</v>
      </c>
      <c r="D98" s="43" t="s">
        <v>327</v>
      </c>
      <c r="E98" s="43" t="s">
        <v>217</v>
      </c>
      <c r="F98" s="43" t="s">
        <v>75</v>
      </c>
      <c r="G98" s="43" t="s">
        <v>62</v>
      </c>
      <c r="H98" s="43">
        <v>3</v>
      </c>
      <c r="I98" s="45">
        <v>79.989999999999995</v>
      </c>
      <c r="J98" s="43" t="s">
        <v>63</v>
      </c>
      <c r="K98" s="43" t="s">
        <v>61</v>
      </c>
      <c r="L98" s="43" t="s">
        <v>144</v>
      </c>
      <c r="M98" s="44">
        <v>44779</v>
      </c>
      <c r="N98" s="45">
        <v>239.97</v>
      </c>
      <c r="O98" s="43" t="str">
        <f t="shared" si="10"/>
        <v>OK</v>
      </c>
      <c r="P98" s="44">
        <f t="shared" si="11"/>
        <v>45535</v>
      </c>
      <c r="Q98" s="43" t="str">
        <f t="shared" si="12"/>
        <v>Aug-24</v>
      </c>
      <c r="R98" s="43">
        <f t="shared" si="13"/>
        <v>2</v>
      </c>
      <c r="S98" s="43">
        <f t="shared" si="14"/>
        <v>24</v>
      </c>
      <c r="T98" s="43">
        <f t="shared" ca="1" si="15"/>
        <v>790</v>
      </c>
      <c r="U98" s="43" t="str">
        <f t="shared" si="16"/>
        <v>LR</v>
      </c>
      <c r="V98" s="43" t="str">
        <f t="shared" si="17"/>
        <v>COF</v>
      </c>
      <c r="W98" s="43" t="str">
        <f t="shared" si="18"/>
        <v>C-2408-001</v>
      </c>
      <c r="X98" s="43" t="str">
        <f>IF(COUNTIF($D$2:D98,D98)&gt;1,"Repeat","First")</f>
        <v>First</v>
      </c>
      <c r="Y98" s="43" t="str">
        <f>IF(AND(K98=Filter!$B$4,N98&gt;=Filter!$B$5),MAX(Y$1:Y97)+1,"")</f>
        <v/>
      </c>
      <c r="Z98" s="43" t="str">
        <f t="shared" si="19"/>
        <v>2024-08</v>
      </c>
    </row>
    <row r="99" spans="1:26" x14ac:dyDescent="0.2">
      <c r="A99" s="43" t="s">
        <v>328</v>
      </c>
      <c r="B99" s="44">
        <v>45528</v>
      </c>
      <c r="C99" s="43" t="s">
        <v>244</v>
      </c>
      <c r="D99" s="43" t="s">
        <v>245</v>
      </c>
      <c r="E99" s="43" t="s">
        <v>139</v>
      </c>
      <c r="F99" s="43" t="s">
        <v>89</v>
      </c>
      <c r="G99" s="43" t="s">
        <v>67</v>
      </c>
      <c r="H99" s="43">
        <v>2</v>
      </c>
      <c r="I99" s="45">
        <v>249.99</v>
      </c>
      <c r="J99" s="43" t="s">
        <v>63</v>
      </c>
      <c r="K99" s="43" t="s">
        <v>76</v>
      </c>
      <c r="L99" s="43" t="s">
        <v>149</v>
      </c>
      <c r="M99" s="44">
        <v>44572</v>
      </c>
      <c r="N99" s="45">
        <v>499.98</v>
      </c>
      <c r="O99" s="43" t="str">
        <f t="shared" si="10"/>
        <v>OK</v>
      </c>
      <c r="P99" s="44">
        <f t="shared" si="11"/>
        <v>45535</v>
      </c>
      <c r="Q99" s="43" t="str">
        <f t="shared" si="12"/>
        <v>Aug-24</v>
      </c>
      <c r="R99" s="43">
        <f t="shared" si="13"/>
        <v>2</v>
      </c>
      <c r="S99" s="43">
        <f t="shared" si="14"/>
        <v>31</v>
      </c>
      <c r="T99" s="43">
        <f t="shared" ca="1" si="15"/>
        <v>790</v>
      </c>
      <c r="U99" s="43" t="str">
        <f t="shared" si="16"/>
        <v>HM</v>
      </c>
      <c r="V99" s="43" t="str">
        <f t="shared" si="17"/>
        <v>MON</v>
      </c>
      <c r="W99" s="43" t="str">
        <f t="shared" si="18"/>
        <v>S-2408-037</v>
      </c>
      <c r="X99" s="43" t="str">
        <f>IF(COUNTIF($D$2:D99,D99)&gt;1,"Repeat","First")</f>
        <v>Repeat</v>
      </c>
      <c r="Y99" s="43" t="str">
        <f>IF(AND(K99=Filter!$B$4,N99&gt;=Filter!$B$5),MAX(Y$1:Y98)+1,"")</f>
        <v/>
      </c>
      <c r="Z99" s="43" t="str">
        <f t="shared" si="19"/>
        <v>2024-08</v>
      </c>
    </row>
    <row r="100" spans="1:26" x14ac:dyDescent="0.2">
      <c r="A100" s="43" t="s">
        <v>329</v>
      </c>
      <c r="B100" s="44">
        <v>45532</v>
      </c>
      <c r="C100" s="43" t="s">
        <v>296</v>
      </c>
      <c r="D100" s="43" t="s">
        <v>297</v>
      </c>
      <c r="E100" s="43" t="s">
        <v>185</v>
      </c>
      <c r="F100" s="43" t="s">
        <v>93</v>
      </c>
      <c r="G100" s="43" t="s">
        <v>67</v>
      </c>
      <c r="H100" s="43">
        <v>1</v>
      </c>
      <c r="I100" s="45">
        <v>699.99</v>
      </c>
      <c r="J100" s="43" t="s">
        <v>63</v>
      </c>
      <c r="K100" s="43" t="s">
        <v>61</v>
      </c>
      <c r="L100" s="43" t="s">
        <v>144</v>
      </c>
      <c r="M100" s="44">
        <v>44497</v>
      </c>
      <c r="N100" s="45">
        <v>699.99</v>
      </c>
      <c r="O100" s="43" t="str">
        <f t="shared" si="10"/>
        <v>OK</v>
      </c>
      <c r="P100" s="44">
        <f t="shared" si="11"/>
        <v>45535</v>
      </c>
      <c r="Q100" s="43" t="str">
        <f t="shared" si="12"/>
        <v>Aug-24</v>
      </c>
      <c r="R100" s="43">
        <f t="shared" si="13"/>
        <v>2</v>
      </c>
      <c r="S100" s="43">
        <f t="shared" si="14"/>
        <v>34</v>
      </c>
      <c r="T100" s="43">
        <f t="shared" ca="1" si="15"/>
        <v>786</v>
      </c>
      <c r="U100" s="43" t="str">
        <f t="shared" si="16"/>
        <v>GM</v>
      </c>
      <c r="V100" s="43" t="str">
        <f t="shared" si="17"/>
        <v>SMA</v>
      </c>
      <c r="W100" s="43" t="str">
        <f t="shared" si="18"/>
        <v>C-2408-058</v>
      </c>
      <c r="X100" s="43" t="str">
        <f>IF(COUNTIF($D$2:D100,D100)&gt;1,"Repeat","First")</f>
        <v>Repeat</v>
      </c>
      <c r="Y100" s="43" t="str">
        <f>IF(AND(K100=Filter!$B$4,N100&gt;=Filter!$B$5),MAX(Y$1:Y99)+1,"")</f>
        <v/>
      </c>
      <c r="Z100" s="43" t="str">
        <f t="shared" si="19"/>
        <v>2024-08</v>
      </c>
    </row>
    <row r="101" spans="1:26" x14ac:dyDescent="0.2">
      <c r="A101" s="43" t="s">
        <v>330</v>
      </c>
      <c r="B101" s="44">
        <v>45532</v>
      </c>
      <c r="C101" s="43" t="s">
        <v>331</v>
      </c>
      <c r="D101" s="43" t="s">
        <v>332</v>
      </c>
      <c r="E101" s="43" t="s">
        <v>161</v>
      </c>
      <c r="F101" s="43" t="s">
        <v>83</v>
      </c>
      <c r="G101" s="43" t="s">
        <v>67</v>
      </c>
      <c r="H101" s="43">
        <v>3</v>
      </c>
      <c r="I101" s="45">
        <v>149.99</v>
      </c>
      <c r="J101" s="43" t="s">
        <v>63</v>
      </c>
      <c r="K101" s="43" t="s">
        <v>81</v>
      </c>
      <c r="L101" s="43" t="s">
        <v>144</v>
      </c>
      <c r="M101" s="44">
        <v>45212</v>
      </c>
      <c r="N101" s="45">
        <v>449.97</v>
      </c>
      <c r="O101" s="43" t="str">
        <f t="shared" si="10"/>
        <v>OK</v>
      </c>
      <c r="P101" s="44">
        <f t="shared" si="11"/>
        <v>45535</v>
      </c>
      <c r="Q101" s="43" t="str">
        <f t="shared" si="12"/>
        <v>Aug-24</v>
      </c>
      <c r="R101" s="43">
        <f t="shared" si="13"/>
        <v>0</v>
      </c>
      <c r="S101" s="43">
        <f t="shared" si="14"/>
        <v>10</v>
      </c>
      <c r="T101" s="43">
        <f t="shared" ca="1" si="15"/>
        <v>786</v>
      </c>
      <c r="U101" s="43" t="str">
        <f t="shared" si="16"/>
        <v>CE</v>
      </c>
      <c r="V101" s="43" t="str">
        <f t="shared" si="17"/>
        <v>HEA</v>
      </c>
      <c r="W101" s="43" t="str">
        <f t="shared" si="18"/>
        <v>W-2408-170</v>
      </c>
      <c r="X101" s="43" t="str">
        <f>IF(COUNTIF($D$2:D101,D101)&gt;1,"Repeat","First")</f>
        <v>First</v>
      </c>
      <c r="Y101" s="43" t="str">
        <f>IF(AND(K101=Filter!$B$4,N101&gt;=Filter!$B$5),MAX(Y$1:Y100)+1,"")</f>
        <v/>
      </c>
      <c r="Z101" s="43" t="str">
        <f t="shared" si="19"/>
        <v>2024-08</v>
      </c>
    </row>
    <row r="102" spans="1:26" x14ac:dyDescent="0.2">
      <c r="A102" s="43" t="s">
        <v>333</v>
      </c>
      <c r="B102" s="44">
        <v>45534</v>
      </c>
      <c r="C102" s="43" t="s">
        <v>334</v>
      </c>
      <c r="D102" s="43" t="s">
        <v>335</v>
      </c>
      <c r="E102" s="43" t="s">
        <v>185</v>
      </c>
      <c r="F102" s="43" t="s">
        <v>93</v>
      </c>
      <c r="G102" s="43" t="s">
        <v>67</v>
      </c>
      <c r="H102" s="43">
        <v>2</v>
      </c>
      <c r="I102" s="45">
        <v>699.99</v>
      </c>
      <c r="J102" s="43" t="s">
        <v>68</v>
      </c>
      <c r="K102" s="43" t="s">
        <v>71</v>
      </c>
      <c r="L102" s="43" t="s">
        <v>144</v>
      </c>
      <c r="M102" s="44">
        <v>44421</v>
      </c>
      <c r="N102" s="45">
        <v>1399.98</v>
      </c>
      <c r="O102" s="43" t="str">
        <f t="shared" si="10"/>
        <v>OK</v>
      </c>
      <c r="P102" s="44">
        <f t="shared" si="11"/>
        <v>45535</v>
      </c>
      <c r="Q102" s="43" t="str">
        <f t="shared" si="12"/>
        <v>Aug-24</v>
      </c>
      <c r="R102" s="43">
        <f t="shared" si="13"/>
        <v>3</v>
      </c>
      <c r="S102" s="43">
        <f t="shared" si="14"/>
        <v>36</v>
      </c>
      <c r="T102" s="43">
        <f t="shared" ca="1" si="15"/>
        <v>784</v>
      </c>
      <c r="U102" s="43" t="str">
        <f t="shared" si="16"/>
        <v>SP</v>
      </c>
      <c r="V102" s="43" t="str">
        <f t="shared" si="17"/>
        <v>SMA</v>
      </c>
      <c r="W102" s="43" t="str">
        <f t="shared" si="18"/>
        <v>N-2408-248</v>
      </c>
      <c r="X102" s="43" t="str">
        <f>IF(COUNTIF($D$2:D102,D102)&gt;1,"Repeat","First")</f>
        <v>First</v>
      </c>
      <c r="Y102" s="43" t="str">
        <f>IF(AND(K102=Filter!$B$4,N102&gt;=Filter!$B$5),MAX(Y$1:Y101)+1,"")</f>
        <v/>
      </c>
      <c r="Z102" s="43" t="str">
        <f t="shared" si="19"/>
        <v>2024-08</v>
      </c>
    </row>
    <row r="103" spans="1:26" x14ac:dyDescent="0.2">
      <c r="A103" s="43" t="s">
        <v>336</v>
      </c>
      <c r="B103" s="44">
        <v>45537</v>
      </c>
      <c r="C103" s="43" t="s">
        <v>331</v>
      </c>
      <c r="D103" s="43" t="s">
        <v>332</v>
      </c>
      <c r="E103" s="43" t="s">
        <v>139</v>
      </c>
      <c r="F103" s="43" t="s">
        <v>89</v>
      </c>
      <c r="G103" s="43" t="s">
        <v>67</v>
      </c>
      <c r="H103" s="43">
        <v>1</v>
      </c>
      <c r="I103" s="45">
        <v>249.99</v>
      </c>
      <c r="J103" s="43" t="s">
        <v>68</v>
      </c>
      <c r="K103" s="43" t="s">
        <v>81</v>
      </c>
      <c r="L103" s="43" t="s">
        <v>144</v>
      </c>
      <c r="M103" s="44">
        <v>44685</v>
      </c>
      <c r="N103" s="45">
        <v>249.99</v>
      </c>
      <c r="O103" s="43" t="str">
        <f t="shared" si="10"/>
        <v>OK</v>
      </c>
      <c r="P103" s="44">
        <f t="shared" si="11"/>
        <v>45565</v>
      </c>
      <c r="Q103" s="43" t="str">
        <f t="shared" si="12"/>
        <v>Sep-24</v>
      </c>
      <c r="R103" s="43">
        <f t="shared" si="13"/>
        <v>2</v>
      </c>
      <c r="S103" s="43">
        <f t="shared" si="14"/>
        <v>27</v>
      </c>
      <c r="T103" s="43">
        <f t="shared" ca="1" si="15"/>
        <v>781</v>
      </c>
      <c r="U103" s="43" t="str">
        <f t="shared" si="16"/>
        <v>CE</v>
      </c>
      <c r="V103" s="43" t="str">
        <f t="shared" si="17"/>
        <v>MON</v>
      </c>
      <c r="W103" s="43" t="str">
        <f t="shared" si="18"/>
        <v>W-2409-099</v>
      </c>
      <c r="X103" s="43" t="str">
        <f>IF(COUNTIF($D$2:D103,D103)&gt;1,"Repeat","First")</f>
        <v>Repeat</v>
      </c>
      <c r="Y103" s="43" t="str">
        <f>IF(AND(K103=Filter!$B$4,N103&gt;=Filter!$B$5),MAX(Y$1:Y102)+1,"")</f>
        <v/>
      </c>
      <c r="Z103" s="43" t="str">
        <f t="shared" si="19"/>
        <v>2024-09</v>
      </c>
    </row>
    <row r="104" spans="1:26" x14ac:dyDescent="0.2">
      <c r="A104" s="43" t="s">
        <v>337</v>
      </c>
      <c r="B104" s="44">
        <v>45537</v>
      </c>
      <c r="C104" s="43" t="s">
        <v>137</v>
      </c>
      <c r="D104" s="43" t="s">
        <v>138</v>
      </c>
      <c r="E104" s="43" t="s">
        <v>139</v>
      </c>
      <c r="F104" s="43" t="s">
        <v>89</v>
      </c>
      <c r="G104" s="43" t="s">
        <v>67</v>
      </c>
      <c r="H104" s="43">
        <v>1</v>
      </c>
      <c r="I104" s="45">
        <v>249.99</v>
      </c>
      <c r="J104" s="43" t="s">
        <v>73</v>
      </c>
      <c r="K104" s="43" t="s">
        <v>71</v>
      </c>
      <c r="L104" s="43" t="s">
        <v>144</v>
      </c>
      <c r="M104" s="44">
        <v>45332</v>
      </c>
      <c r="N104" s="45">
        <v>249.99</v>
      </c>
      <c r="O104" s="43" t="str">
        <f t="shared" si="10"/>
        <v>OK</v>
      </c>
      <c r="P104" s="44">
        <f t="shared" si="11"/>
        <v>45565</v>
      </c>
      <c r="Q104" s="43" t="str">
        <f t="shared" si="12"/>
        <v>Sep-24</v>
      </c>
      <c r="R104" s="43">
        <f t="shared" si="13"/>
        <v>0</v>
      </c>
      <c r="S104" s="43">
        <f t="shared" si="14"/>
        <v>6</v>
      </c>
      <c r="T104" s="43">
        <f t="shared" ca="1" si="15"/>
        <v>781</v>
      </c>
      <c r="U104" s="43" t="str">
        <f t="shared" si="16"/>
        <v>PB</v>
      </c>
      <c r="V104" s="43" t="str">
        <f t="shared" si="17"/>
        <v>MON</v>
      </c>
      <c r="W104" s="43" t="str">
        <f t="shared" si="18"/>
        <v>N-2409-074</v>
      </c>
      <c r="X104" s="43" t="str">
        <f>IF(COUNTIF($D$2:D104,D104)&gt;1,"Repeat","First")</f>
        <v>Repeat</v>
      </c>
      <c r="Y104" s="43" t="str">
        <f>IF(AND(K104=Filter!$B$4,N104&gt;=Filter!$B$5),MAX(Y$1:Y103)+1,"")</f>
        <v/>
      </c>
      <c r="Z104" s="43" t="str">
        <f t="shared" si="19"/>
        <v>2024-09</v>
      </c>
    </row>
    <row r="105" spans="1:26" x14ac:dyDescent="0.2">
      <c r="A105" s="43" t="s">
        <v>338</v>
      </c>
      <c r="B105" s="44">
        <v>45538</v>
      </c>
      <c r="C105" s="43" t="s">
        <v>326</v>
      </c>
      <c r="D105" s="43" t="s">
        <v>327</v>
      </c>
      <c r="E105" s="43" t="s">
        <v>185</v>
      </c>
      <c r="F105" s="43" t="s">
        <v>93</v>
      </c>
      <c r="G105" s="43" t="s">
        <v>67</v>
      </c>
      <c r="H105" s="43">
        <v>2</v>
      </c>
      <c r="I105" s="45">
        <v>699.99</v>
      </c>
      <c r="J105" s="43" t="s">
        <v>73</v>
      </c>
      <c r="K105" s="43" t="s">
        <v>61</v>
      </c>
      <c r="L105" s="43" t="s">
        <v>144</v>
      </c>
      <c r="M105" s="44">
        <v>44870</v>
      </c>
      <c r="N105" s="45">
        <v>1399.98</v>
      </c>
      <c r="O105" s="43" t="str">
        <f t="shared" si="10"/>
        <v>OK</v>
      </c>
      <c r="P105" s="44">
        <f t="shared" si="11"/>
        <v>45565</v>
      </c>
      <c r="Q105" s="43" t="str">
        <f t="shared" si="12"/>
        <v>Sep-24</v>
      </c>
      <c r="R105" s="43">
        <f t="shared" si="13"/>
        <v>1</v>
      </c>
      <c r="S105" s="43">
        <f t="shared" si="14"/>
        <v>21</v>
      </c>
      <c r="T105" s="43">
        <f t="shared" ca="1" si="15"/>
        <v>780</v>
      </c>
      <c r="U105" s="43" t="str">
        <f t="shared" si="16"/>
        <v>LR</v>
      </c>
      <c r="V105" s="43" t="str">
        <f t="shared" si="17"/>
        <v>SMA</v>
      </c>
      <c r="W105" s="43" t="str">
        <f t="shared" si="18"/>
        <v>C-2409-225</v>
      </c>
      <c r="X105" s="43" t="str">
        <f>IF(COUNTIF($D$2:D105,D105)&gt;1,"Repeat","First")</f>
        <v>Repeat</v>
      </c>
      <c r="Y105" s="43" t="str">
        <f>IF(AND(K105=Filter!$B$4,N105&gt;=Filter!$B$5),MAX(Y$1:Y104)+1,"")</f>
        <v/>
      </c>
      <c r="Z105" s="43" t="str">
        <f t="shared" si="19"/>
        <v>2024-09</v>
      </c>
    </row>
    <row r="106" spans="1:26" x14ac:dyDescent="0.2">
      <c r="A106" s="43" t="s">
        <v>339</v>
      </c>
      <c r="B106" s="44">
        <v>45541</v>
      </c>
      <c r="C106" s="43" t="s">
        <v>238</v>
      </c>
      <c r="D106" s="43" t="s">
        <v>239</v>
      </c>
      <c r="E106" s="43" t="s">
        <v>148</v>
      </c>
      <c r="F106" s="43" t="s">
        <v>65</v>
      </c>
      <c r="G106" s="43" t="s">
        <v>62</v>
      </c>
      <c r="H106" s="43">
        <v>3</v>
      </c>
      <c r="I106" s="45">
        <v>59.99</v>
      </c>
      <c r="J106" s="43" t="s">
        <v>68</v>
      </c>
      <c r="K106" s="43" t="s">
        <v>61</v>
      </c>
      <c r="L106" s="43" t="s">
        <v>144</v>
      </c>
      <c r="M106" s="44">
        <v>44717</v>
      </c>
      <c r="N106" s="45">
        <v>179.97</v>
      </c>
      <c r="O106" s="43" t="str">
        <f t="shared" si="10"/>
        <v>OK</v>
      </c>
      <c r="P106" s="44">
        <f t="shared" si="11"/>
        <v>45565</v>
      </c>
      <c r="Q106" s="43" t="str">
        <f t="shared" si="12"/>
        <v>Sep-24</v>
      </c>
      <c r="R106" s="43">
        <f t="shared" si="13"/>
        <v>2</v>
      </c>
      <c r="S106" s="43">
        <f t="shared" si="14"/>
        <v>27</v>
      </c>
      <c r="T106" s="43">
        <f t="shared" ca="1" si="15"/>
        <v>777</v>
      </c>
      <c r="U106" s="43" t="str">
        <f t="shared" si="16"/>
        <v>ST</v>
      </c>
      <c r="V106" s="43" t="str">
        <f t="shared" si="17"/>
        <v>BLE</v>
      </c>
      <c r="W106" s="43" t="str">
        <f t="shared" si="18"/>
        <v>C-2409-100</v>
      </c>
      <c r="X106" s="43" t="str">
        <f>IF(COUNTIF($D$2:D106,D106)&gt;1,"Repeat","First")</f>
        <v>Repeat</v>
      </c>
      <c r="Y106" s="43" t="str">
        <f>IF(AND(K106=Filter!$B$4,N106&gt;=Filter!$B$5),MAX(Y$1:Y105)+1,"")</f>
        <v/>
      </c>
      <c r="Z106" s="43" t="str">
        <f t="shared" si="19"/>
        <v>2024-09</v>
      </c>
    </row>
    <row r="107" spans="1:26" x14ac:dyDescent="0.2">
      <c r="A107" s="43" t="s">
        <v>340</v>
      </c>
      <c r="B107" s="44">
        <v>45544</v>
      </c>
      <c r="C107" s="43" t="s">
        <v>232</v>
      </c>
      <c r="D107" s="43" t="s">
        <v>233</v>
      </c>
      <c r="E107" s="43" t="s">
        <v>148</v>
      </c>
      <c r="F107" s="43" t="s">
        <v>65</v>
      </c>
      <c r="G107" s="43" t="s">
        <v>62</v>
      </c>
      <c r="H107" s="43">
        <v>3</v>
      </c>
      <c r="I107" s="45">
        <v>59.99</v>
      </c>
      <c r="J107" s="43" t="s">
        <v>78</v>
      </c>
      <c r="K107" s="43" t="s">
        <v>66</v>
      </c>
      <c r="L107" s="43" t="s">
        <v>149</v>
      </c>
      <c r="M107" s="44">
        <v>44748</v>
      </c>
      <c r="N107" s="45">
        <v>179.97</v>
      </c>
      <c r="O107" s="43" t="str">
        <f t="shared" si="10"/>
        <v>OK</v>
      </c>
      <c r="P107" s="44">
        <f t="shared" si="11"/>
        <v>45565</v>
      </c>
      <c r="Q107" s="43" t="str">
        <f t="shared" si="12"/>
        <v>Sep-24</v>
      </c>
      <c r="R107" s="43">
        <f t="shared" si="13"/>
        <v>2</v>
      </c>
      <c r="S107" s="43">
        <f t="shared" si="14"/>
        <v>26</v>
      </c>
      <c r="T107" s="43">
        <f t="shared" ca="1" si="15"/>
        <v>774</v>
      </c>
      <c r="U107" s="43" t="str">
        <f t="shared" si="16"/>
        <v>EW</v>
      </c>
      <c r="V107" s="43" t="str">
        <f t="shared" si="17"/>
        <v>BLE</v>
      </c>
      <c r="W107" s="43" t="str">
        <f t="shared" si="18"/>
        <v>E-2409-142</v>
      </c>
      <c r="X107" s="43" t="str">
        <f>IF(COUNTIF($D$2:D107,D107)&gt;1,"Repeat","First")</f>
        <v>Repeat</v>
      </c>
      <c r="Y107" s="43" t="str">
        <f>IF(AND(K107=Filter!$B$4,N107&gt;=Filter!$B$5),MAX(Y$1:Y106)+1,"")</f>
        <v/>
      </c>
      <c r="Z107" s="43" t="str">
        <f t="shared" si="19"/>
        <v>2024-09</v>
      </c>
    </row>
    <row r="108" spans="1:26" x14ac:dyDescent="0.2">
      <c r="A108" s="43" t="s">
        <v>341</v>
      </c>
      <c r="B108" s="44">
        <v>45544</v>
      </c>
      <c r="C108" s="43" t="s">
        <v>241</v>
      </c>
      <c r="D108" s="43" t="s">
        <v>242</v>
      </c>
      <c r="E108" s="43" t="s">
        <v>217</v>
      </c>
      <c r="F108" s="43" t="s">
        <v>75</v>
      </c>
      <c r="G108" s="43" t="s">
        <v>62</v>
      </c>
      <c r="H108" s="43">
        <v>4</v>
      </c>
      <c r="I108" s="45">
        <v>79.989999999999995</v>
      </c>
      <c r="J108" s="43" t="s">
        <v>63</v>
      </c>
      <c r="K108" s="43" t="s">
        <v>71</v>
      </c>
      <c r="L108" s="43" t="s">
        <v>140</v>
      </c>
      <c r="M108" s="44">
        <v>44530</v>
      </c>
      <c r="N108" s="45">
        <v>319.95999999999998</v>
      </c>
      <c r="O108" s="43" t="str">
        <f t="shared" si="10"/>
        <v>OK</v>
      </c>
      <c r="P108" s="44">
        <f t="shared" si="11"/>
        <v>45565</v>
      </c>
      <c r="Q108" s="43" t="str">
        <f t="shared" si="12"/>
        <v>Sep-24</v>
      </c>
      <c r="R108" s="43">
        <f t="shared" si="13"/>
        <v>2</v>
      </c>
      <c r="S108" s="43">
        <f t="shared" si="14"/>
        <v>33</v>
      </c>
      <c r="T108" s="43">
        <f t="shared" ca="1" si="15"/>
        <v>774</v>
      </c>
      <c r="U108" s="43" t="str">
        <f t="shared" si="16"/>
        <v>JT</v>
      </c>
      <c r="V108" s="43" t="str">
        <f t="shared" si="17"/>
        <v>COF</v>
      </c>
      <c r="W108" s="43" t="str">
        <f t="shared" si="18"/>
        <v>N-2409-112</v>
      </c>
      <c r="X108" s="43" t="str">
        <f>IF(COUNTIF($D$2:D108,D108)&gt;1,"Repeat","First")</f>
        <v>Repeat</v>
      </c>
      <c r="Y108" s="43" t="str">
        <f>IF(AND(K108=Filter!$B$4,N108&gt;=Filter!$B$5),MAX(Y$1:Y107)+1,"")</f>
        <v/>
      </c>
      <c r="Z108" s="43" t="str">
        <f t="shared" si="19"/>
        <v>2024-09</v>
      </c>
    </row>
    <row r="109" spans="1:26" x14ac:dyDescent="0.2">
      <c r="A109" s="43" t="s">
        <v>342</v>
      </c>
      <c r="B109" s="44">
        <v>45545</v>
      </c>
      <c r="C109" s="43" t="s">
        <v>163</v>
      </c>
      <c r="D109" s="43" t="s">
        <v>164</v>
      </c>
      <c r="E109" s="43" t="s">
        <v>217</v>
      </c>
      <c r="F109" s="43" t="s">
        <v>75</v>
      </c>
      <c r="G109" s="43" t="s">
        <v>62</v>
      </c>
      <c r="H109" s="43">
        <v>1</v>
      </c>
      <c r="I109" s="45">
        <v>79.989999999999995</v>
      </c>
      <c r="J109" s="43" t="s">
        <v>63</v>
      </c>
      <c r="K109" s="43" t="s">
        <v>81</v>
      </c>
      <c r="L109" s="43" t="s">
        <v>140</v>
      </c>
      <c r="M109" s="44">
        <v>44693</v>
      </c>
      <c r="N109" s="45">
        <v>79.989999999999995</v>
      </c>
      <c r="O109" s="43" t="str">
        <f t="shared" si="10"/>
        <v>OK</v>
      </c>
      <c r="P109" s="44">
        <f t="shared" si="11"/>
        <v>45565</v>
      </c>
      <c r="Q109" s="43" t="str">
        <f t="shared" si="12"/>
        <v>Sep-24</v>
      </c>
      <c r="R109" s="43">
        <f t="shared" si="13"/>
        <v>2</v>
      </c>
      <c r="S109" s="43">
        <f t="shared" si="14"/>
        <v>27</v>
      </c>
      <c r="T109" s="43">
        <f t="shared" ca="1" si="15"/>
        <v>773</v>
      </c>
      <c r="U109" s="43" t="str">
        <f t="shared" si="16"/>
        <v>CA</v>
      </c>
      <c r="V109" s="43" t="str">
        <f t="shared" si="17"/>
        <v>COF</v>
      </c>
      <c r="W109" s="43" t="str">
        <f t="shared" si="18"/>
        <v>W-2409-161</v>
      </c>
      <c r="X109" s="43" t="str">
        <f>IF(COUNTIF($D$2:D109,D109)&gt;1,"Repeat","First")</f>
        <v>Repeat</v>
      </c>
      <c r="Y109" s="43" t="str">
        <f>IF(AND(K109=Filter!$B$4,N109&gt;=Filter!$B$5),MAX(Y$1:Y108)+1,"")</f>
        <v/>
      </c>
      <c r="Z109" s="43" t="str">
        <f t="shared" si="19"/>
        <v>2024-09</v>
      </c>
    </row>
    <row r="110" spans="1:26" x14ac:dyDescent="0.2">
      <c r="A110" s="43" t="s">
        <v>343</v>
      </c>
      <c r="B110" s="44">
        <v>45547</v>
      </c>
      <c r="C110" s="43" t="s">
        <v>158</v>
      </c>
      <c r="D110" s="43" t="s">
        <v>159</v>
      </c>
      <c r="E110" s="43" t="s">
        <v>209</v>
      </c>
      <c r="F110" s="43" t="s">
        <v>80</v>
      </c>
      <c r="G110" s="43" t="s">
        <v>72</v>
      </c>
      <c r="H110" s="43">
        <v>3</v>
      </c>
      <c r="I110" s="45">
        <v>299.99</v>
      </c>
      <c r="J110" s="43" t="s">
        <v>68</v>
      </c>
      <c r="K110" s="43" t="s">
        <v>61</v>
      </c>
      <c r="L110" s="43" t="s">
        <v>144</v>
      </c>
      <c r="M110" s="44">
        <v>44494</v>
      </c>
      <c r="N110" s="45">
        <v>899.97</v>
      </c>
      <c r="O110" s="43" t="str">
        <f t="shared" si="10"/>
        <v>OK</v>
      </c>
      <c r="P110" s="44">
        <f t="shared" si="11"/>
        <v>45565</v>
      </c>
      <c r="Q110" s="43" t="str">
        <f t="shared" si="12"/>
        <v>Sep-24</v>
      </c>
      <c r="R110" s="43">
        <f t="shared" si="13"/>
        <v>2</v>
      </c>
      <c r="S110" s="43">
        <f t="shared" si="14"/>
        <v>34</v>
      </c>
      <c r="T110" s="43">
        <f t="shared" ca="1" si="15"/>
        <v>771</v>
      </c>
      <c r="U110" s="43" t="str">
        <f t="shared" si="16"/>
        <v>DN</v>
      </c>
      <c r="V110" s="43" t="str">
        <f t="shared" si="17"/>
        <v>DES</v>
      </c>
      <c r="W110" s="43" t="str">
        <f t="shared" si="18"/>
        <v>C-2409-108</v>
      </c>
      <c r="X110" s="43" t="str">
        <f>IF(COUNTIF($D$2:D110,D110)&gt;1,"Repeat","First")</f>
        <v>Repeat</v>
      </c>
      <c r="Y110" s="43" t="str">
        <f>IF(AND(K110=Filter!$B$4,N110&gt;=Filter!$B$5),MAX(Y$1:Y109)+1,"")</f>
        <v/>
      </c>
      <c r="Z110" s="43" t="str">
        <f t="shared" si="19"/>
        <v>2024-09</v>
      </c>
    </row>
    <row r="111" spans="1:26" x14ac:dyDescent="0.2">
      <c r="A111" s="43" t="s">
        <v>344</v>
      </c>
      <c r="B111" s="44">
        <v>45548</v>
      </c>
      <c r="C111" s="43" t="s">
        <v>151</v>
      </c>
      <c r="D111" s="43" t="s">
        <v>152</v>
      </c>
      <c r="E111" s="43" t="s">
        <v>219</v>
      </c>
      <c r="F111" s="43" t="s">
        <v>85</v>
      </c>
      <c r="G111" s="43" t="s">
        <v>67</v>
      </c>
      <c r="H111" s="43">
        <v>2</v>
      </c>
      <c r="I111" s="45">
        <v>89.99</v>
      </c>
      <c r="J111" s="43" t="s">
        <v>68</v>
      </c>
      <c r="K111" s="43" t="s">
        <v>76</v>
      </c>
      <c r="L111" s="43" t="s">
        <v>144</v>
      </c>
      <c r="M111" s="44">
        <v>44641</v>
      </c>
      <c r="N111" s="45">
        <v>179.98</v>
      </c>
      <c r="O111" s="43" t="str">
        <f t="shared" si="10"/>
        <v>OK</v>
      </c>
      <c r="P111" s="44">
        <f t="shared" si="11"/>
        <v>45565</v>
      </c>
      <c r="Q111" s="43" t="str">
        <f t="shared" si="12"/>
        <v>Sep-24</v>
      </c>
      <c r="R111" s="43">
        <f t="shared" si="13"/>
        <v>2</v>
      </c>
      <c r="S111" s="43">
        <f t="shared" si="14"/>
        <v>29</v>
      </c>
      <c r="T111" s="43">
        <f t="shared" ca="1" si="15"/>
        <v>770</v>
      </c>
      <c r="U111" s="43" t="str">
        <f t="shared" si="16"/>
        <v>KB</v>
      </c>
      <c r="V111" s="43" t="str">
        <f t="shared" si="17"/>
        <v>KEY</v>
      </c>
      <c r="W111" s="43" t="str">
        <f t="shared" si="18"/>
        <v>S-2409-211</v>
      </c>
      <c r="X111" s="43" t="str">
        <f>IF(COUNTIF($D$2:D111,D111)&gt;1,"Repeat","First")</f>
        <v>Repeat</v>
      </c>
      <c r="Y111" s="43" t="str">
        <f>IF(AND(K111=Filter!$B$4,N111&gt;=Filter!$B$5),MAX(Y$1:Y110)+1,"")</f>
        <v/>
      </c>
      <c r="Z111" s="43" t="str">
        <f t="shared" si="19"/>
        <v>2024-09</v>
      </c>
    </row>
    <row r="112" spans="1:26" x14ac:dyDescent="0.2">
      <c r="A112" s="43" t="s">
        <v>345</v>
      </c>
      <c r="B112" s="44">
        <v>45550</v>
      </c>
      <c r="C112" s="43" t="s">
        <v>346</v>
      </c>
      <c r="D112" s="43" t="s">
        <v>347</v>
      </c>
      <c r="E112" s="43" t="s">
        <v>161</v>
      </c>
      <c r="F112" s="43" t="s">
        <v>83</v>
      </c>
      <c r="G112" s="43" t="s">
        <v>67</v>
      </c>
      <c r="H112" s="43">
        <v>4</v>
      </c>
      <c r="I112" s="45">
        <v>149.99</v>
      </c>
      <c r="J112" s="43" t="s">
        <v>63</v>
      </c>
      <c r="K112" s="43" t="s">
        <v>71</v>
      </c>
      <c r="L112" s="43" t="s">
        <v>140</v>
      </c>
      <c r="M112" s="44">
        <v>44909</v>
      </c>
      <c r="N112" s="45">
        <v>599.96</v>
      </c>
      <c r="O112" s="43" t="str">
        <f t="shared" si="10"/>
        <v>OK</v>
      </c>
      <c r="P112" s="44">
        <f t="shared" si="11"/>
        <v>45565</v>
      </c>
      <c r="Q112" s="43" t="str">
        <f t="shared" si="12"/>
        <v>Sep-24</v>
      </c>
      <c r="R112" s="43">
        <f t="shared" si="13"/>
        <v>1</v>
      </c>
      <c r="S112" s="43">
        <f t="shared" si="14"/>
        <v>21</v>
      </c>
      <c r="T112" s="43">
        <f t="shared" ca="1" si="15"/>
        <v>768</v>
      </c>
      <c r="U112" s="43" t="str">
        <f t="shared" si="16"/>
        <v>RB</v>
      </c>
      <c r="V112" s="43" t="str">
        <f t="shared" si="17"/>
        <v>HEA</v>
      </c>
      <c r="W112" s="43" t="str">
        <f t="shared" si="18"/>
        <v>N-2409-005</v>
      </c>
      <c r="X112" s="43" t="str">
        <f>IF(COUNTIF($D$2:D112,D112)&gt;1,"Repeat","First")</f>
        <v>First</v>
      </c>
      <c r="Y112" s="43" t="str">
        <f>IF(AND(K112=Filter!$B$4,N112&gt;=Filter!$B$5),MAX(Y$1:Y111)+1,"")</f>
        <v/>
      </c>
      <c r="Z112" s="43" t="str">
        <f t="shared" si="19"/>
        <v>2024-09</v>
      </c>
    </row>
    <row r="113" spans="1:26" x14ac:dyDescent="0.2">
      <c r="A113" s="43" t="s">
        <v>348</v>
      </c>
      <c r="B113" s="44">
        <v>45551</v>
      </c>
      <c r="C113" s="43" t="s">
        <v>170</v>
      </c>
      <c r="D113" s="43" t="s">
        <v>171</v>
      </c>
      <c r="E113" s="43" t="s">
        <v>139</v>
      </c>
      <c r="F113" s="43" t="s">
        <v>89</v>
      </c>
      <c r="G113" s="43" t="s">
        <v>67</v>
      </c>
      <c r="H113" s="43">
        <v>2</v>
      </c>
      <c r="I113" s="45">
        <v>249.99</v>
      </c>
      <c r="J113" s="43" t="s">
        <v>78</v>
      </c>
      <c r="K113" s="43" t="s">
        <v>76</v>
      </c>
      <c r="L113" s="43" t="s">
        <v>140</v>
      </c>
      <c r="M113" s="44">
        <v>44993</v>
      </c>
      <c r="N113" s="45">
        <v>499.98</v>
      </c>
      <c r="O113" s="43" t="str">
        <f t="shared" si="10"/>
        <v>OK</v>
      </c>
      <c r="P113" s="44">
        <f t="shared" si="11"/>
        <v>45565</v>
      </c>
      <c r="Q113" s="43" t="str">
        <f t="shared" si="12"/>
        <v>Sep-24</v>
      </c>
      <c r="R113" s="43">
        <f t="shared" si="13"/>
        <v>1</v>
      </c>
      <c r="S113" s="43">
        <f t="shared" si="14"/>
        <v>18</v>
      </c>
      <c r="T113" s="43">
        <f t="shared" ca="1" si="15"/>
        <v>767</v>
      </c>
      <c r="U113" s="43" t="str">
        <f t="shared" si="16"/>
        <v>KH</v>
      </c>
      <c r="V113" s="43" t="str">
        <f t="shared" si="17"/>
        <v>MON</v>
      </c>
      <c r="W113" s="43" t="str">
        <f t="shared" si="18"/>
        <v>S-2409-195</v>
      </c>
      <c r="X113" s="43" t="str">
        <f>IF(COUNTIF($D$2:D113,D113)&gt;1,"Repeat","First")</f>
        <v>Repeat</v>
      </c>
      <c r="Y113" s="43" t="str">
        <f>IF(AND(K113=Filter!$B$4,N113&gt;=Filter!$B$5),MAX(Y$1:Y112)+1,"")</f>
        <v/>
      </c>
      <c r="Z113" s="43" t="str">
        <f t="shared" si="19"/>
        <v>2024-09</v>
      </c>
    </row>
    <row r="114" spans="1:26" x14ac:dyDescent="0.2">
      <c r="A114" s="43" t="s">
        <v>349</v>
      </c>
      <c r="B114" s="44">
        <v>45551</v>
      </c>
      <c r="C114" s="43" t="s">
        <v>254</v>
      </c>
      <c r="D114" s="43" t="s">
        <v>255</v>
      </c>
      <c r="E114" s="43" t="s">
        <v>227</v>
      </c>
      <c r="F114" s="43" t="s">
        <v>91</v>
      </c>
      <c r="G114" s="43" t="s">
        <v>72</v>
      </c>
      <c r="H114" s="43">
        <v>4</v>
      </c>
      <c r="I114" s="45">
        <v>199.99</v>
      </c>
      <c r="J114" s="43" t="s">
        <v>73</v>
      </c>
      <c r="K114" s="43" t="s">
        <v>66</v>
      </c>
      <c r="L114" s="43" t="s">
        <v>140</v>
      </c>
      <c r="M114" s="44">
        <v>44458</v>
      </c>
      <c r="N114" s="45">
        <v>799.96</v>
      </c>
      <c r="O114" s="43" t="str">
        <f t="shared" si="10"/>
        <v>OK</v>
      </c>
      <c r="P114" s="44">
        <f t="shared" si="11"/>
        <v>45565</v>
      </c>
      <c r="Q114" s="43" t="str">
        <f t="shared" si="12"/>
        <v>Sep-24</v>
      </c>
      <c r="R114" s="43">
        <f t="shared" si="13"/>
        <v>2</v>
      </c>
      <c r="S114" s="43">
        <f t="shared" si="14"/>
        <v>35</v>
      </c>
      <c r="T114" s="43">
        <f t="shared" ca="1" si="15"/>
        <v>767</v>
      </c>
      <c r="U114" s="43" t="str">
        <f t="shared" si="16"/>
        <v>SD</v>
      </c>
      <c r="V114" s="43" t="str">
        <f t="shared" si="17"/>
        <v>OFF</v>
      </c>
      <c r="W114" s="43" t="str">
        <f t="shared" si="18"/>
        <v>E-2409-054</v>
      </c>
      <c r="X114" s="43" t="str">
        <f>IF(COUNTIF($D$2:D114,D114)&gt;1,"Repeat","First")</f>
        <v>Repeat</v>
      </c>
      <c r="Y114" s="43" t="str">
        <f>IF(AND(K114=Filter!$B$4,N114&gt;=Filter!$B$5),MAX(Y$1:Y113)+1,"")</f>
        <v/>
      </c>
      <c r="Z114" s="43" t="str">
        <f t="shared" si="19"/>
        <v>2024-09</v>
      </c>
    </row>
    <row r="115" spans="1:26" x14ac:dyDescent="0.2">
      <c r="A115" s="43" t="s">
        <v>350</v>
      </c>
      <c r="B115" s="44">
        <v>45554</v>
      </c>
      <c r="C115" s="43" t="s">
        <v>247</v>
      </c>
      <c r="D115" s="43" t="s">
        <v>248</v>
      </c>
      <c r="E115" s="43" t="s">
        <v>219</v>
      </c>
      <c r="F115" s="43" t="s">
        <v>85</v>
      </c>
      <c r="G115" s="43" t="s">
        <v>67</v>
      </c>
      <c r="H115" s="43">
        <v>5</v>
      </c>
      <c r="I115" s="45">
        <v>89.99</v>
      </c>
      <c r="J115" s="43" t="s">
        <v>68</v>
      </c>
      <c r="K115" s="43" t="s">
        <v>66</v>
      </c>
      <c r="L115" s="43" t="s">
        <v>144</v>
      </c>
      <c r="M115" s="44">
        <v>44446</v>
      </c>
      <c r="N115" s="45">
        <v>449.95</v>
      </c>
      <c r="O115" s="43" t="str">
        <f t="shared" si="10"/>
        <v>OK</v>
      </c>
      <c r="P115" s="44">
        <f t="shared" si="11"/>
        <v>45565</v>
      </c>
      <c r="Q115" s="43" t="str">
        <f t="shared" si="12"/>
        <v>Sep-24</v>
      </c>
      <c r="R115" s="43">
        <f t="shared" si="13"/>
        <v>3</v>
      </c>
      <c r="S115" s="43">
        <f t="shared" si="14"/>
        <v>36</v>
      </c>
      <c r="T115" s="43">
        <f t="shared" ca="1" si="15"/>
        <v>764</v>
      </c>
      <c r="U115" s="43" t="str">
        <f t="shared" si="16"/>
        <v>DK</v>
      </c>
      <c r="V115" s="43" t="str">
        <f t="shared" si="17"/>
        <v>KEY</v>
      </c>
      <c r="W115" s="43" t="str">
        <f t="shared" si="18"/>
        <v>E-2409-077</v>
      </c>
      <c r="X115" s="43" t="str">
        <f>IF(COUNTIF($D$2:D115,D115)&gt;1,"Repeat","First")</f>
        <v>Repeat</v>
      </c>
      <c r="Y115" s="43" t="str">
        <f>IF(AND(K115=Filter!$B$4,N115&gt;=Filter!$B$5),MAX(Y$1:Y114)+1,"")</f>
        <v/>
      </c>
      <c r="Z115" s="43" t="str">
        <f t="shared" si="19"/>
        <v>2024-09</v>
      </c>
    </row>
    <row r="116" spans="1:26" x14ac:dyDescent="0.2">
      <c r="A116" s="43" t="s">
        <v>351</v>
      </c>
      <c r="B116" s="44">
        <v>45554</v>
      </c>
      <c r="C116" s="43" t="s">
        <v>352</v>
      </c>
      <c r="D116" s="43" t="s">
        <v>353</v>
      </c>
      <c r="E116" s="43" t="s">
        <v>161</v>
      </c>
      <c r="F116" s="43" t="s">
        <v>83</v>
      </c>
      <c r="G116" s="43" t="s">
        <v>67</v>
      </c>
      <c r="H116" s="43">
        <v>1</v>
      </c>
      <c r="I116" s="45">
        <v>149.99</v>
      </c>
      <c r="J116" s="43" t="s">
        <v>78</v>
      </c>
      <c r="K116" s="43" t="s">
        <v>66</v>
      </c>
      <c r="L116" s="43" t="s">
        <v>149</v>
      </c>
      <c r="M116" s="44">
        <v>44482</v>
      </c>
      <c r="N116" s="45">
        <v>149.99</v>
      </c>
      <c r="O116" s="43" t="str">
        <f t="shared" si="10"/>
        <v>OK</v>
      </c>
      <c r="P116" s="44">
        <f t="shared" si="11"/>
        <v>45565</v>
      </c>
      <c r="Q116" s="43" t="str">
        <f t="shared" si="12"/>
        <v>Sep-24</v>
      </c>
      <c r="R116" s="43">
        <f t="shared" si="13"/>
        <v>2</v>
      </c>
      <c r="S116" s="43">
        <f t="shared" si="14"/>
        <v>35</v>
      </c>
      <c r="T116" s="43">
        <f t="shared" ca="1" si="15"/>
        <v>764</v>
      </c>
      <c r="U116" s="43" t="str">
        <f t="shared" si="16"/>
        <v>WW</v>
      </c>
      <c r="V116" s="43" t="str">
        <f t="shared" si="17"/>
        <v>HEA</v>
      </c>
      <c r="W116" s="43" t="str">
        <f t="shared" si="18"/>
        <v>E-2409-111</v>
      </c>
      <c r="X116" s="43" t="str">
        <f>IF(COUNTIF($D$2:D116,D116)&gt;1,"Repeat","First")</f>
        <v>First</v>
      </c>
      <c r="Y116" s="43" t="str">
        <f>IF(AND(K116=Filter!$B$4,N116&gt;=Filter!$B$5),MAX(Y$1:Y115)+1,"")</f>
        <v/>
      </c>
      <c r="Z116" s="43" t="str">
        <f t="shared" si="19"/>
        <v>2024-09</v>
      </c>
    </row>
    <row r="117" spans="1:26" x14ac:dyDescent="0.2">
      <c r="A117" s="43" t="s">
        <v>354</v>
      </c>
      <c r="B117" s="44">
        <v>45554</v>
      </c>
      <c r="C117" s="43" t="s">
        <v>177</v>
      </c>
      <c r="D117" s="43" t="s">
        <v>178</v>
      </c>
      <c r="E117" s="43" t="s">
        <v>185</v>
      </c>
      <c r="F117" s="43" t="s">
        <v>93</v>
      </c>
      <c r="G117" s="43" t="s">
        <v>67</v>
      </c>
      <c r="H117" s="43">
        <v>4</v>
      </c>
      <c r="I117" s="45">
        <v>699.99</v>
      </c>
      <c r="J117" s="43" t="s">
        <v>78</v>
      </c>
      <c r="K117" s="43" t="s">
        <v>76</v>
      </c>
      <c r="L117" s="43" t="s">
        <v>140</v>
      </c>
      <c r="M117" s="44">
        <v>44618</v>
      </c>
      <c r="N117" s="45">
        <v>2799.96</v>
      </c>
      <c r="O117" s="43" t="str">
        <f t="shared" si="10"/>
        <v>OK</v>
      </c>
      <c r="P117" s="44">
        <f t="shared" si="11"/>
        <v>45565</v>
      </c>
      <c r="Q117" s="43" t="str">
        <f t="shared" si="12"/>
        <v>Sep-24</v>
      </c>
      <c r="R117" s="43">
        <f t="shared" si="13"/>
        <v>2</v>
      </c>
      <c r="S117" s="43">
        <f t="shared" si="14"/>
        <v>30</v>
      </c>
      <c r="T117" s="43">
        <f t="shared" ca="1" si="15"/>
        <v>764</v>
      </c>
      <c r="U117" s="43" t="str">
        <f t="shared" si="16"/>
        <v>PR</v>
      </c>
      <c r="V117" s="43" t="str">
        <f t="shared" si="17"/>
        <v>SMA</v>
      </c>
      <c r="W117" s="43" t="str">
        <f t="shared" si="18"/>
        <v>S-2409-123</v>
      </c>
      <c r="X117" s="43" t="str">
        <f>IF(COUNTIF($D$2:D117,D117)&gt;1,"Repeat","First")</f>
        <v>Repeat</v>
      </c>
      <c r="Y117" s="43" t="str">
        <f>IF(AND(K117=Filter!$B$4,N117&gt;=Filter!$B$5),MAX(Y$1:Y116)+1,"")</f>
        <v/>
      </c>
      <c r="Z117" s="43" t="str">
        <f t="shared" si="19"/>
        <v>2024-09</v>
      </c>
    </row>
    <row r="118" spans="1:26" x14ac:dyDescent="0.2">
      <c r="A118" s="43" t="s">
        <v>355</v>
      </c>
      <c r="B118" s="44">
        <v>45559</v>
      </c>
      <c r="C118" s="43" t="s">
        <v>334</v>
      </c>
      <c r="D118" s="43" t="s">
        <v>335</v>
      </c>
      <c r="E118" s="43" t="s">
        <v>168</v>
      </c>
      <c r="F118" s="43" t="s">
        <v>87</v>
      </c>
      <c r="G118" s="43" t="s">
        <v>67</v>
      </c>
      <c r="H118" s="43">
        <v>3</v>
      </c>
      <c r="I118" s="45">
        <v>899.99</v>
      </c>
      <c r="J118" s="43" t="s">
        <v>68</v>
      </c>
      <c r="K118" s="43" t="s">
        <v>71</v>
      </c>
      <c r="L118" s="43" t="s">
        <v>149</v>
      </c>
      <c r="M118" s="44">
        <v>45157</v>
      </c>
      <c r="N118" s="45">
        <v>2699.97</v>
      </c>
      <c r="O118" s="43" t="str">
        <f t="shared" si="10"/>
        <v>OK</v>
      </c>
      <c r="P118" s="44">
        <f t="shared" si="11"/>
        <v>45565</v>
      </c>
      <c r="Q118" s="43" t="str">
        <f t="shared" si="12"/>
        <v>Sep-24</v>
      </c>
      <c r="R118" s="43">
        <f t="shared" si="13"/>
        <v>1</v>
      </c>
      <c r="S118" s="43">
        <f t="shared" si="14"/>
        <v>13</v>
      </c>
      <c r="T118" s="43">
        <f t="shared" ca="1" si="15"/>
        <v>759</v>
      </c>
      <c r="U118" s="43" t="str">
        <f t="shared" si="16"/>
        <v>SP</v>
      </c>
      <c r="V118" s="43" t="str">
        <f t="shared" si="17"/>
        <v>LAP</v>
      </c>
      <c r="W118" s="43" t="str">
        <f t="shared" si="18"/>
        <v>N-2409-177</v>
      </c>
      <c r="X118" s="43" t="str">
        <f>IF(COUNTIF($D$2:D118,D118)&gt;1,"Repeat","First")</f>
        <v>Repeat</v>
      </c>
      <c r="Y118" s="43" t="str">
        <f>IF(AND(K118=Filter!$B$4,N118&gt;=Filter!$B$5),MAX(Y$1:Y117)+1,"")</f>
        <v/>
      </c>
      <c r="Z118" s="43" t="str">
        <f t="shared" si="19"/>
        <v>2024-09</v>
      </c>
    </row>
    <row r="119" spans="1:26" x14ac:dyDescent="0.2">
      <c r="A119" s="43" t="s">
        <v>356</v>
      </c>
      <c r="B119" s="44">
        <v>45560</v>
      </c>
      <c r="C119" s="43" t="s">
        <v>215</v>
      </c>
      <c r="D119" s="43" t="s">
        <v>216</v>
      </c>
      <c r="E119" s="43" t="s">
        <v>156</v>
      </c>
      <c r="F119" s="43" t="s">
        <v>70</v>
      </c>
      <c r="G119" s="43" t="s">
        <v>72</v>
      </c>
      <c r="H119" s="43">
        <v>3</v>
      </c>
      <c r="I119" s="45">
        <v>149.99</v>
      </c>
      <c r="J119" s="43" t="s">
        <v>78</v>
      </c>
      <c r="K119" s="43" t="s">
        <v>66</v>
      </c>
      <c r="L119" s="43" t="s">
        <v>140</v>
      </c>
      <c r="M119" s="44">
        <v>44886</v>
      </c>
      <c r="N119" s="45">
        <v>449.97</v>
      </c>
      <c r="O119" s="43" t="str">
        <f t="shared" si="10"/>
        <v>OK</v>
      </c>
      <c r="P119" s="44">
        <f t="shared" si="11"/>
        <v>45565</v>
      </c>
      <c r="Q119" s="43" t="str">
        <f t="shared" si="12"/>
        <v>Sep-24</v>
      </c>
      <c r="R119" s="43">
        <f t="shared" si="13"/>
        <v>1</v>
      </c>
      <c r="S119" s="43">
        <f t="shared" si="14"/>
        <v>22</v>
      </c>
      <c r="T119" s="43">
        <f t="shared" ca="1" si="15"/>
        <v>758</v>
      </c>
      <c r="U119" s="43" t="str">
        <f t="shared" si="16"/>
        <v>LM</v>
      </c>
      <c r="V119" s="43" t="str">
        <f t="shared" si="17"/>
        <v>BOO</v>
      </c>
      <c r="W119" s="43" t="str">
        <f t="shared" si="18"/>
        <v>E-2409-119</v>
      </c>
      <c r="X119" s="43" t="str">
        <f>IF(COUNTIF($D$2:D119,D119)&gt;1,"Repeat","First")</f>
        <v>Repeat</v>
      </c>
      <c r="Y119" s="43" t="str">
        <f>IF(AND(K119=Filter!$B$4,N119&gt;=Filter!$B$5),MAX(Y$1:Y118)+1,"")</f>
        <v/>
      </c>
      <c r="Z119" s="43" t="str">
        <f t="shared" si="19"/>
        <v>2024-09</v>
      </c>
    </row>
    <row r="120" spans="1:26" x14ac:dyDescent="0.2">
      <c r="A120" s="43" t="s">
        <v>357</v>
      </c>
      <c r="B120" s="44">
        <v>45563</v>
      </c>
      <c r="C120" s="43" t="s">
        <v>203</v>
      </c>
      <c r="D120" s="43" t="s">
        <v>204</v>
      </c>
      <c r="E120" s="43" t="s">
        <v>209</v>
      </c>
      <c r="F120" s="43" t="s">
        <v>80</v>
      </c>
      <c r="G120" s="43" t="s">
        <v>72</v>
      </c>
      <c r="H120" s="43">
        <v>2</v>
      </c>
      <c r="I120" s="45">
        <v>299.99</v>
      </c>
      <c r="J120" s="43" t="s">
        <v>73</v>
      </c>
      <c r="K120" s="43" t="s">
        <v>61</v>
      </c>
      <c r="L120" s="43" t="s">
        <v>140</v>
      </c>
      <c r="M120" s="44">
        <v>44569</v>
      </c>
      <c r="N120" s="45">
        <v>599.98</v>
      </c>
      <c r="O120" s="43" t="str">
        <f t="shared" si="10"/>
        <v>OK</v>
      </c>
      <c r="P120" s="44">
        <f t="shared" si="11"/>
        <v>45565</v>
      </c>
      <c r="Q120" s="43" t="str">
        <f t="shared" si="12"/>
        <v>Sep-24</v>
      </c>
      <c r="R120" s="43">
        <f t="shared" si="13"/>
        <v>2</v>
      </c>
      <c r="S120" s="43">
        <f t="shared" si="14"/>
        <v>32</v>
      </c>
      <c r="T120" s="43">
        <f t="shared" ca="1" si="15"/>
        <v>755</v>
      </c>
      <c r="U120" s="43" t="str">
        <f t="shared" si="16"/>
        <v>PM</v>
      </c>
      <c r="V120" s="43" t="str">
        <f t="shared" si="17"/>
        <v>DES</v>
      </c>
      <c r="W120" s="43" t="str">
        <f t="shared" si="18"/>
        <v>C-2409-181</v>
      </c>
      <c r="X120" s="43" t="str">
        <f>IF(COUNTIF($D$2:D120,D120)&gt;1,"Repeat","First")</f>
        <v>Repeat</v>
      </c>
      <c r="Y120" s="43" t="str">
        <f>IF(AND(K120=Filter!$B$4,N120&gt;=Filter!$B$5),MAX(Y$1:Y119)+1,"")</f>
        <v/>
      </c>
      <c r="Z120" s="43" t="str">
        <f t="shared" si="19"/>
        <v>2024-09</v>
      </c>
    </row>
    <row r="121" spans="1:26" x14ac:dyDescent="0.2">
      <c r="A121" s="43" t="s">
        <v>358</v>
      </c>
      <c r="B121" s="44">
        <v>45564</v>
      </c>
      <c r="C121" s="43" t="s">
        <v>359</v>
      </c>
      <c r="D121" s="43" t="s">
        <v>360</v>
      </c>
      <c r="E121" s="43" t="s">
        <v>227</v>
      </c>
      <c r="F121" s="43" t="s">
        <v>91</v>
      </c>
      <c r="G121" s="43" t="s">
        <v>72</v>
      </c>
      <c r="H121" s="43">
        <v>1</v>
      </c>
      <c r="I121" s="45">
        <v>199.99</v>
      </c>
      <c r="J121" s="43" t="s">
        <v>73</v>
      </c>
      <c r="K121" s="43" t="s">
        <v>66</v>
      </c>
      <c r="L121" s="43" t="s">
        <v>149</v>
      </c>
      <c r="M121" s="44">
        <v>44953</v>
      </c>
      <c r="N121" s="45">
        <v>199.99</v>
      </c>
      <c r="O121" s="43" t="str">
        <f t="shared" si="10"/>
        <v>OK</v>
      </c>
      <c r="P121" s="44">
        <f t="shared" si="11"/>
        <v>45565</v>
      </c>
      <c r="Q121" s="43" t="str">
        <f t="shared" si="12"/>
        <v>Sep-24</v>
      </c>
      <c r="R121" s="43">
        <f t="shared" si="13"/>
        <v>1</v>
      </c>
      <c r="S121" s="43">
        <f t="shared" si="14"/>
        <v>20</v>
      </c>
      <c r="T121" s="43">
        <f t="shared" ca="1" si="15"/>
        <v>754</v>
      </c>
      <c r="U121" s="43" t="str">
        <f t="shared" si="16"/>
        <v>RL</v>
      </c>
      <c r="V121" s="43" t="str">
        <f t="shared" si="17"/>
        <v>OFF</v>
      </c>
      <c r="W121" s="43" t="str">
        <f t="shared" si="18"/>
        <v>E-2409-129</v>
      </c>
      <c r="X121" s="43" t="str">
        <f>IF(COUNTIF($D$2:D121,D121)&gt;1,"Repeat","First")</f>
        <v>First</v>
      </c>
      <c r="Y121" s="43" t="str">
        <f>IF(AND(K121=Filter!$B$4,N121&gt;=Filter!$B$5),MAX(Y$1:Y120)+1,"")</f>
        <v/>
      </c>
      <c r="Z121" s="43" t="str">
        <f t="shared" si="19"/>
        <v>2024-09</v>
      </c>
    </row>
    <row r="122" spans="1:26" x14ac:dyDescent="0.2">
      <c r="A122" s="43" t="s">
        <v>361</v>
      </c>
      <c r="B122" s="44">
        <v>45566</v>
      </c>
      <c r="C122" s="43" t="s">
        <v>154</v>
      </c>
      <c r="D122" s="43" t="s">
        <v>155</v>
      </c>
      <c r="E122" s="43" t="s">
        <v>209</v>
      </c>
      <c r="F122" s="43" t="s">
        <v>80</v>
      </c>
      <c r="G122" s="43" t="s">
        <v>72</v>
      </c>
      <c r="H122" s="43">
        <v>4</v>
      </c>
      <c r="I122" s="45">
        <v>299.99</v>
      </c>
      <c r="J122" s="43" t="s">
        <v>63</v>
      </c>
      <c r="K122" s="43" t="s">
        <v>61</v>
      </c>
      <c r="L122" s="43" t="s">
        <v>144</v>
      </c>
      <c r="M122" s="44">
        <v>44460</v>
      </c>
      <c r="N122" s="45">
        <v>1199.96</v>
      </c>
      <c r="O122" s="43" t="str">
        <f t="shared" si="10"/>
        <v>OK</v>
      </c>
      <c r="P122" s="44">
        <f t="shared" si="11"/>
        <v>45596</v>
      </c>
      <c r="Q122" s="43" t="str">
        <f t="shared" si="12"/>
        <v>Oct-24</v>
      </c>
      <c r="R122" s="43">
        <f t="shared" si="13"/>
        <v>3</v>
      </c>
      <c r="S122" s="43">
        <f t="shared" si="14"/>
        <v>36</v>
      </c>
      <c r="T122" s="43">
        <f t="shared" ca="1" si="15"/>
        <v>752</v>
      </c>
      <c r="U122" s="43" t="str">
        <f t="shared" si="16"/>
        <v>MB</v>
      </c>
      <c r="V122" s="43" t="str">
        <f t="shared" si="17"/>
        <v>DES</v>
      </c>
      <c r="W122" s="43" t="str">
        <f t="shared" si="18"/>
        <v>C-2410-174</v>
      </c>
      <c r="X122" s="43" t="str">
        <f>IF(COUNTIF($D$2:D122,D122)&gt;1,"Repeat","First")</f>
        <v>Repeat</v>
      </c>
      <c r="Y122" s="43" t="str">
        <f>IF(AND(K122=Filter!$B$4,N122&gt;=Filter!$B$5),MAX(Y$1:Y121)+1,"")</f>
        <v/>
      </c>
      <c r="Z122" s="43" t="str">
        <f t="shared" si="19"/>
        <v>2024-10</v>
      </c>
    </row>
    <row r="123" spans="1:26" x14ac:dyDescent="0.2">
      <c r="A123" s="43" t="s">
        <v>362</v>
      </c>
      <c r="B123" s="44">
        <v>45572</v>
      </c>
      <c r="C123" s="43" t="s">
        <v>193</v>
      </c>
      <c r="D123" s="43" t="s">
        <v>194</v>
      </c>
      <c r="E123" s="43" t="s">
        <v>148</v>
      </c>
      <c r="F123" s="43" t="s">
        <v>65</v>
      </c>
      <c r="G123" s="43" t="s">
        <v>62</v>
      </c>
      <c r="H123" s="43">
        <v>2</v>
      </c>
      <c r="I123" s="45">
        <v>59.99</v>
      </c>
      <c r="J123" s="43" t="s">
        <v>68</v>
      </c>
      <c r="K123" s="43" t="s">
        <v>61</v>
      </c>
      <c r="L123" s="43" t="s">
        <v>140</v>
      </c>
      <c r="M123" s="44">
        <v>44579</v>
      </c>
      <c r="N123" s="45">
        <v>119.98</v>
      </c>
      <c r="O123" s="43" t="str">
        <f t="shared" si="10"/>
        <v>OK</v>
      </c>
      <c r="P123" s="44">
        <f t="shared" si="11"/>
        <v>45596</v>
      </c>
      <c r="Q123" s="43" t="str">
        <f t="shared" si="12"/>
        <v>Oct-24</v>
      </c>
      <c r="R123" s="43">
        <f t="shared" si="13"/>
        <v>2</v>
      </c>
      <c r="S123" s="43">
        <f t="shared" si="14"/>
        <v>32</v>
      </c>
      <c r="T123" s="43">
        <f t="shared" ca="1" si="15"/>
        <v>746</v>
      </c>
      <c r="U123" s="43" t="str">
        <f t="shared" si="16"/>
        <v>MG</v>
      </c>
      <c r="V123" s="43" t="str">
        <f t="shared" si="17"/>
        <v>BLE</v>
      </c>
      <c r="W123" s="43" t="str">
        <f t="shared" si="18"/>
        <v>C-2410-146</v>
      </c>
      <c r="X123" s="43" t="str">
        <f>IF(COUNTIF($D$2:D123,D123)&gt;1,"Repeat","First")</f>
        <v>Repeat</v>
      </c>
      <c r="Y123" s="43" t="str">
        <f>IF(AND(K123=Filter!$B$4,N123&gt;=Filter!$B$5),MAX(Y$1:Y122)+1,"")</f>
        <v/>
      </c>
      <c r="Z123" s="43" t="str">
        <f t="shared" si="19"/>
        <v>2024-10</v>
      </c>
    </row>
    <row r="124" spans="1:26" x14ac:dyDescent="0.2">
      <c r="A124" s="43" t="s">
        <v>363</v>
      </c>
      <c r="B124" s="44">
        <v>45572</v>
      </c>
      <c r="C124" s="43" t="s">
        <v>334</v>
      </c>
      <c r="D124" s="43" t="s">
        <v>335</v>
      </c>
      <c r="E124" s="43" t="s">
        <v>161</v>
      </c>
      <c r="F124" s="43" t="s">
        <v>83</v>
      </c>
      <c r="G124" s="43" t="s">
        <v>67</v>
      </c>
      <c r="H124" s="43">
        <v>4</v>
      </c>
      <c r="I124" s="45">
        <v>149.99</v>
      </c>
      <c r="J124" s="43" t="s">
        <v>68</v>
      </c>
      <c r="K124" s="43" t="s">
        <v>71</v>
      </c>
      <c r="L124" s="43" t="s">
        <v>144</v>
      </c>
      <c r="M124" s="44">
        <v>45076</v>
      </c>
      <c r="N124" s="45">
        <v>599.96</v>
      </c>
      <c r="O124" s="43" t="str">
        <f t="shared" si="10"/>
        <v>OK</v>
      </c>
      <c r="P124" s="44">
        <f t="shared" si="11"/>
        <v>45596</v>
      </c>
      <c r="Q124" s="43" t="str">
        <f t="shared" si="12"/>
        <v>Oct-24</v>
      </c>
      <c r="R124" s="43">
        <f t="shared" si="13"/>
        <v>1</v>
      </c>
      <c r="S124" s="43">
        <f t="shared" si="14"/>
        <v>16</v>
      </c>
      <c r="T124" s="43">
        <f t="shared" ca="1" si="15"/>
        <v>746</v>
      </c>
      <c r="U124" s="43" t="str">
        <f t="shared" si="16"/>
        <v>SP</v>
      </c>
      <c r="V124" s="43" t="str">
        <f t="shared" si="17"/>
        <v>HEA</v>
      </c>
      <c r="W124" s="43" t="str">
        <f t="shared" si="18"/>
        <v>N-2410-203</v>
      </c>
      <c r="X124" s="43" t="str">
        <f>IF(COUNTIF($D$2:D124,D124)&gt;1,"Repeat","First")</f>
        <v>Repeat</v>
      </c>
      <c r="Y124" s="43" t="str">
        <f>IF(AND(K124=Filter!$B$4,N124&gt;=Filter!$B$5),MAX(Y$1:Y123)+1,"")</f>
        <v/>
      </c>
      <c r="Z124" s="43" t="str">
        <f t="shared" si="19"/>
        <v>2024-10</v>
      </c>
    </row>
    <row r="125" spans="1:26" x14ac:dyDescent="0.2">
      <c r="A125" s="43" t="s">
        <v>364</v>
      </c>
      <c r="B125" s="44">
        <v>45573</v>
      </c>
      <c r="C125" s="43" t="s">
        <v>311</v>
      </c>
      <c r="D125" s="43" t="s">
        <v>312</v>
      </c>
      <c r="E125" s="43" t="s">
        <v>185</v>
      </c>
      <c r="F125" s="43" t="s">
        <v>93</v>
      </c>
      <c r="G125" s="43" t="s">
        <v>67</v>
      </c>
      <c r="H125" s="43">
        <v>2</v>
      </c>
      <c r="I125" s="45">
        <v>699.99</v>
      </c>
      <c r="J125" s="43" t="s">
        <v>73</v>
      </c>
      <c r="K125" s="43" t="s">
        <v>66</v>
      </c>
      <c r="L125" s="43" t="s">
        <v>144</v>
      </c>
      <c r="M125" s="44">
        <v>45274</v>
      </c>
      <c r="N125" s="45">
        <v>1399.98</v>
      </c>
      <c r="O125" s="43" t="str">
        <f t="shared" si="10"/>
        <v>OK</v>
      </c>
      <c r="P125" s="44">
        <f t="shared" si="11"/>
        <v>45596</v>
      </c>
      <c r="Q125" s="43" t="str">
        <f t="shared" si="12"/>
        <v>Oct-24</v>
      </c>
      <c r="R125" s="43">
        <f t="shared" si="13"/>
        <v>0</v>
      </c>
      <c r="S125" s="43">
        <f t="shared" si="14"/>
        <v>9</v>
      </c>
      <c r="T125" s="43">
        <f t="shared" ca="1" si="15"/>
        <v>745</v>
      </c>
      <c r="U125" s="43" t="str">
        <f t="shared" si="16"/>
        <v>EH</v>
      </c>
      <c r="V125" s="43" t="str">
        <f t="shared" si="17"/>
        <v>SMA</v>
      </c>
      <c r="W125" s="43" t="str">
        <f t="shared" si="18"/>
        <v>E-2410-055</v>
      </c>
      <c r="X125" s="43" t="str">
        <f>IF(COUNTIF($D$2:D125,D125)&gt;1,"Repeat","First")</f>
        <v>Repeat</v>
      </c>
      <c r="Y125" s="43" t="str">
        <f>IF(AND(K125=Filter!$B$4,N125&gt;=Filter!$B$5),MAX(Y$1:Y124)+1,"")</f>
        <v/>
      </c>
      <c r="Z125" s="43" t="str">
        <f t="shared" si="19"/>
        <v>2024-10</v>
      </c>
    </row>
    <row r="126" spans="1:26" x14ac:dyDescent="0.2">
      <c r="A126" s="43" t="s">
        <v>365</v>
      </c>
      <c r="B126" s="44">
        <v>45573</v>
      </c>
      <c r="C126" s="43" t="s">
        <v>331</v>
      </c>
      <c r="D126" s="43" t="s">
        <v>332</v>
      </c>
      <c r="E126" s="43" t="s">
        <v>156</v>
      </c>
      <c r="F126" s="43" t="s">
        <v>70</v>
      </c>
      <c r="G126" s="43" t="s">
        <v>72</v>
      </c>
      <c r="H126" s="43">
        <v>3</v>
      </c>
      <c r="I126" s="45">
        <v>149.99</v>
      </c>
      <c r="J126" s="43" t="s">
        <v>68</v>
      </c>
      <c r="K126" s="43" t="s">
        <v>76</v>
      </c>
      <c r="L126" s="43" t="s">
        <v>149</v>
      </c>
      <c r="M126" s="44">
        <v>44940</v>
      </c>
      <c r="N126" s="45">
        <v>449.97</v>
      </c>
      <c r="O126" s="43" t="str">
        <f t="shared" si="10"/>
        <v>OK</v>
      </c>
      <c r="P126" s="44">
        <f t="shared" si="11"/>
        <v>45596</v>
      </c>
      <c r="Q126" s="43" t="str">
        <f t="shared" si="12"/>
        <v>Oct-24</v>
      </c>
      <c r="R126" s="43">
        <f t="shared" si="13"/>
        <v>1</v>
      </c>
      <c r="S126" s="43">
        <f t="shared" si="14"/>
        <v>20</v>
      </c>
      <c r="T126" s="43">
        <f t="shared" ca="1" si="15"/>
        <v>745</v>
      </c>
      <c r="U126" s="43" t="str">
        <f t="shared" si="16"/>
        <v>CE</v>
      </c>
      <c r="V126" s="43" t="str">
        <f t="shared" si="17"/>
        <v>BOO</v>
      </c>
      <c r="W126" s="43" t="str">
        <f t="shared" si="18"/>
        <v>S-2410-218</v>
      </c>
      <c r="X126" s="43" t="str">
        <f>IF(COUNTIF($D$2:D126,D126)&gt;1,"Repeat","First")</f>
        <v>Repeat</v>
      </c>
      <c r="Y126" s="43" t="str">
        <f>IF(AND(K126=Filter!$B$4,N126&gt;=Filter!$B$5),MAX(Y$1:Y125)+1,"")</f>
        <v/>
      </c>
      <c r="Z126" s="43" t="str">
        <f t="shared" si="19"/>
        <v>2024-10</v>
      </c>
    </row>
    <row r="127" spans="1:26" x14ac:dyDescent="0.2">
      <c r="A127" s="43" t="s">
        <v>366</v>
      </c>
      <c r="B127" s="44">
        <v>45576</v>
      </c>
      <c r="C127" s="43" t="s">
        <v>247</v>
      </c>
      <c r="D127" s="43" t="s">
        <v>248</v>
      </c>
      <c r="E127" s="43" t="s">
        <v>209</v>
      </c>
      <c r="F127" s="43" t="s">
        <v>80</v>
      </c>
      <c r="G127" s="43" t="s">
        <v>72</v>
      </c>
      <c r="H127" s="43">
        <v>3</v>
      </c>
      <c r="I127" s="45">
        <v>299.99</v>
      </c>
      <c r="J127" s="43" t="s">
        <v>68</v>
      </c>
      <c r="K127" s="43" t="s">
        <v>61</v>
      </c>
      <c r="L127" s="43" t="s">
        <v>149</v>
      </c>
      <c r="M127" s="44">
        <v>45174</v>
      </c>
      <c r="N127" s="45">
        <v>899.97</v>
      </c>
      <c r="O127" s="43" t="str">
        <f t="shared" si="10"/>
        <v>OK</v>
      </c>
      <c r="P127" s="44">
        <f t="shared" si="11"/>
        <v>45596</v>
      </c>
      <c r="Q127" s="43" t="str">
        <f t="shared" si="12"/>
        <v>Oct-24</v>
      </c>
      <c r="R127" s="43">
        <f t="shared" si="13"/>
        <v>1</v>
      </c>
      <c r="S127" s="43">
        <f t="shared" si="14"/>
        <v>13</v>
      </c>
      <c r="T127" s="43">
        <f t="shared" ca="1" si="15"/>
        <v>742</v>
      </c>
      <c r="U127" s="43" t="str">
        <f t="shared" si="16"/>
        <v>DK</v>
      </c>
      <c r="V127" s="43" t="str">
        <f t="shared" si="17"/>
        <v>DES</v>
      </c>
      <c r="W127" s="43" t="str">
        <f t="shared" si="18"/>
        <v>C-2410-085</v>
      </c>
      <c r="X127" s="43" t="str">
        <f>IF(COUNTIF($D$2:D127,D127)&gt;1,"Repeat","First")</f>
        <v>Repeat</v>
      </c>
      <c r="Y127" s="43" t="str">
        <f>IF(AND(K127=Filter!$B$4,N127&gt;=Filter!$B$5),MAX(Y$1:Y126)+1,"")</f>
        <v/>
      </c>
      <c r="Z127" s="43" t="str">
        <f t="shared" si="19"/>
        <v>2024-10</v>
      </c>
    </row>
    <row r="128" spans="1:26" x14ac:dyDescent="0.2">
      <c r="A128" s="43" t="s">
        <v>367</v>
      </c>
      <c r="B128" s="44">
        <v>45579</v>
      </c>
      <c r="C128" s="43" t="s">
        <v>187</v>
      </c>
      <c r="D128" s="43" t="s">
        <v>188</v>
      </c>
      <c r="E128" s="43" t="s">
        <v>168</v>
      </c>
      <c r="F128" s="43" t="s">
        <v>87</v>
      </c>
      <c r="G128" s="43" t="s">
        <v>67</v>
      </c>
      <c r="H128" s="43">
        <v>3</v>
      </c>
      <c r="I128" s="45">
        <v>899.99</v>
      </c>
      <c r="J128" s="43" t="s">
        <v>78</v>
      </c>
      <c r="K128" s="43" t="s">
        <v>81</v>
      </c>
      <c r="L128" s="43" t="s">
        <v>140</v>
      </c>
      <c r="M128" s="44">
        <v>45215</v>
      </c>
      <c r="N128" s="45">
        <v>2699.97</v>
      </c>
      <c r="O128" s="43" t="str">
        <f t="shared" si="10"/>
        <v>OK</v>
      </c>
      <c r="P128" s="44">
        <f t="shared" si="11"/>
        <v>45596</v>
      </c>
      <c r="Q128" s="43" t="str">
        <f t="shared" si="12"/>
        <v>Oct-24</v>
      </c>
      <c r="R128" s="43">
        <f t="shared" si="13"/>
        <v>0</v>
      </c>
      <c r="S128" s="43">
        <f t="shared" si="14"/>
        <v>11</v>
      </c>
      <c r="T128" s="43">
        <f t="shared" ca="1" si="15"/>
        <v>739</v>
      </c>
      <c r="U128" s="43" t="str">
        <f t="shared" si="16"/>
        <v>GA</v>
      </c>
      <c r="V128" s="43" t="str">
        <f t="shared" si="17"/>
        <v>LAP</v>
      </c>
      <c r="W128" s="43" t="str">
        <f t="shared" si="18"/>
        <v>W-2410-158</v>
      </c>
      <c r="X128" s="43" t="str">
        <f>IF(COUNTIF($D$2:D128,D128)&gt;1,"Repeat","First")</f>
        <v>Repeat</v>
      </c>
      <c r="Y128" s="43">
        <f>IF(AND(K128=Filter!$B$4,N128&gt;=Filter!$B$5),MAX(Y$1:Y127)+1,"")</f>
        <v>7</v>
      </c>
      <c r="Z128" s="43" t="str">
        <f t="shared" si="19"/>
        <v>2024-10</v>
      </c>
    </row>
    <row r="129" spans="1:26" x14ac:dyDescent="0.2">
      <c r="A129" s="43" t="s">
        <v>368</v>
      </c>
      <c r="B129" s="44">
        <v>45581</v>
      </c>
      <c r="C129" s="43" t="s">
        <v>200</v>
      </c>
      <c r="D129" s="43" t="s">
        <v>201</v>
      </c>
      <c r="E129" s="43" t="s">
        <v>185</v>
      </c>
      <c r="F129" s="43" t="s">
        <v>93</v>
      </c>
      <c r="G129" s="43" t="s">
        <v>67</v>
      </c>
      <c r="H129" s="43">
        <v>5</v>
      </c>
      <c r="I129" s="45">
        <v>699.99</v>
      </c>
      <c r="J129" s="43" t="s">
        <v>63</v>
      </c>
      <c r="K129" s="43" t="s">
        <v>66</v>
      </c>
      <c r="L129" s="43" t="s">
        <v>149</v>
      </c>
      <c r="M129" s="44">
        <v>45008</v>
      </c>
      <c r="N129" s="45">
        <v>3499.95</v>
      </c>
      <c r="O129" s="43" t="str">
        <f t="shared" si="10"/>
        <v>OK</v>
      </c>
      <c r="P129" s="44">
        <f t="shared" si="11"/>
        <v>45596</v>
      </c>
      <c r="Q129" s="43" t="str">
        <f t="shared" si="12"/>
        <v>Oct-24</v>
      </c>
      <c r="R129" s="43">
        <f t="shared" si="13"/>
        <v>1</v>
      </c>
      <c r="S129" s="43">
        <f t="shared" si="14"/>
        <v>18</v>
      </c>
      <c r="T129" s="43">
        <f t="shared" ca="1" si="15"/>
        <v>737</v>
      </c>
      <c r="U129" s="43" t="str">
        <f t="shared" si="16"/>
        <v>BY</v>
      </c>
      <c r="V129" s="43" t="str">
        <f t="shared" si="17"/>
        <v>SMA</v>
      </c>
      <c r="W129" s="43" t="str">
        <f t="shared" si="18"/>
        <v>E-2410-173</v>
      </c>
      <c r="X129" s="43" t="str">
        <f>IF(COUNTIF($D$2:D129,D129)&gt;1,"Repeat","First")</f>
        <v>Repeat</v>
      </c>
      <c r="Y129" s="43" t="str">
        <f>IF(AND(K129=Filter!$B$4,N129&gt;=Filter!$B$5),MAX(Y$1:Y128)+1,"")</f>
        <v/>
      </c>
      <c r="Z129" s="43" t="str">
        <f t="shared" si="19"/>
        <v>2024-10</v>
      </c>
    </row>
    <row r="130" spans="1:26" x14ac:dyDescent="0.2">
      <c r="A130" s="43" t="s">
        <v>369</v>
      </c>
      <c r="B130" s="44">
        <v>45581</v>
      </c>
      <c r="C130" s="43" t="s">
        <v>271</v>
      </c>
      <c r="D130" s="43" t="s">
        <v>272</v>
      </c>
      <c r="E130" s="43" t="s">
        <v>185</v>
      </c>
      <c r="F130" s="43" t="s">
        <v>93</v>
      </c>
      <c r="G130" s="43" t="s">
        <v>67</v>
      </c>
      <c r="H130" s="43">
        <v>4</v>
      </c>
      <c r="I130" s="45">
        <v>699.99</v>
      </c>
      <c r="J130" s="43" t="s">
        <v>68</v>
      </c>
      <c r="K130" s="43" t="s">
        <v>61</v>
      </c>
      <c r="L130" s="43" t="s">
        <v>140</v>
      </c>
      <c r="M130" s="44">
        <v>45385</v>
      </c>
      <c r="N130" s="45">
        <v>2799.96</v>
      </c>
      <c r="O130" s="43" t="str">
        <f t="shared" ref="O130:O193" si="20">IF(ROUND(H130*I130-N130,2)=0,"OK","Error")</f>
        <v>OK</v>
      </c>
      <c r="P130" s="44">
        <f t="shared" ref="P130:P193" si="21">EOMONTH(B130,0)</f>
        <v>45596</v>
      </c>
      <c r="Q130" s="43" t="str">
        <f t="shared" ref="Q130:Q193" si="22">TEXT(B130,"mmm-yy")</f>
        <v>Oct-24</v>
      </c>
      <c r="R130" s="43">
        <f t="shared" ref="R130:R193" si="23">DATEDIF(M130,B130,"Y")</f>
        <v>0</v>
      </c>
      <c r="S130" s="43">
        <f t="shared" ref="S130:S193" si="24">DATEDIF(M130,B130,"M")</f>
        <v>6</v>
      </c>
      <c r="T130" s="43">
        <f t="shared" ref="T130:T193" ca="1" si="25">TODAY()-B130</f>
        <v>737</v>
      </c>
      <c r="U130" s="43" t="str">
        <f t="shared" ref="U130:U193" si="26">LEFT(D130,1)&amp;MID(D130,FIND(" ",D130)+1,1)</f>
        <v>RR</v>
      </c>
      <c r="V130" s="43" t="str">
        <f t="shared" ref="V130:V193" si="27">UPPER(LEFT(F130,3))</f>
        <v>SMA</v>
      </c>
      <c r="W130" s="43" t="str">
        <f t="shared" ref="W130:W193" si="28">UPPER(LEFT(K130,1))&amp;"-"&amp;TEXT(B130,"yymm")&amp;"-"&amp;RIGHT(A130,3)</f>
        <v>C-2410-034</v>
      </c>
      <c r="X130" s="43" t="str">
        <f>IF(COUNTIF($D$2:D130,D130)&gt;1,"Repeat","First")</f>
        <v>Repeat</v>
      </c>
      <c r="Y130" s="43" t="str">
        <f>IF(AND(K130=Filter!$B$4,N130&gt;=Filter!$B$5),MAX(Y$1:Y129)+1,"")</f>
        <v/>
      </c>
      <c r="Z130" s="43" t="str">
        <f t="shared" ref="Z130:Z193" si="29">TEXT(B130,"yyyy-mm")</f>
        <v>2024-10</v>
      </c>
    </row>
    <row r="131" spans="1:26" x14ac:dyDescent="0.2">
      <c r="A131" s="43" t="s">
        <v>370</v>
      </c>
      <c r="B131" s="44">
        <v>45581</v>
      </c>
      <c r="C131" s="43" t="s">
        <v>250</v>
      </c>
      <c r="D131" s="43" t="s">
        <v>251</v>
      </c>
      <c r="E131" s="43" t="s">
        <v>168</v>
      </c>
      <c r="F131" s="43" t="s">
        <v>87</v>
      </c>
      <c r="G131" s="43" t="s">
        <v>67</v>
      </c>
      <c r="H131" s="43">
        <v>1</v>
      </c>
      <c r="I131" s="45">
        <v>899.99</v>
      </c>
      <c r="J131" s="43" t="s">
        <v>68</v>
      </c>
      <c r="K131" s="43" t="s">
        <v>66</v>
      </c>
      <c r="L131" s="43" t="s">
        <v>149</v>
      </c>
      <c r="M131" s="44">
        <v>45369</v>
      </c>
      <c r="N131" s="45">
        <v>899.99</v>
      </c>
      <c r="O131" s="43" t="str">
        <f t="shared" si="20"/>
        <v>OK</v>
      </c>
      <c r="P131" s="44">
        <f t="shared" si="21"/>
        <v>45596</v>
      </c>
      <c r="Q131" s="43" t="str">
        <f t="shared" si="22"/>
        <v>Oct-24</v>
      </c>
      <c r="R131" s="43">
        <f t="shared" si="23"/>
        <v>0</v>
      </c>
      <c r="S131" s="43">
        <f t="shared" si="24"/>
        <v>6</v>
      </c>
      <c r="T131" s="43">
        <f t="shared" ca="1" si="25"/>
        <v>737</v>
      </c>
      <c r="U131" s="43" t="str">
        <f t="shared" si="26"/>
        <v>SB</v>
      </c>
      <c r="V131" s="43" t="str">
        <f t="shared" si="27"/>
        <v>LAP</v>
      </c>
      <c r="W131" s="43" t="str">
        <f t="shared" si="28"/>
        <v>E-2410-189</v>
      </c>
      <c r="X131" s="43" t="str">
        <f>IF(COUNTIF($D$2:D131,D131)&gt;1,"Repeat","First")</f>
        <v>Repeat</v>
      </c>
      <c r="Y131" s="43" t="str">
        <f>IF(AND(K131=Filter!$B$4,N131&gt;=Filter!$B$5),MAX(Y$1:Y130)+1,"")</f>
        <v/>
      </c>
      <c r="Z131" s="43" t="str">
        <f t="shared" si="29"/>
        <v>2024-10</v>
      </c>
    </row>
    <row r="132" spans="1:26" x14ac:dyDescent="0.2">
      <c r="A132" s="43" t="s">
        <v>371</v>
      </c>
      <c r="B132" s="44">
        <v>45583</v>
      </c>
      <c r="C132" s="43" t="s">
        <v>326</v>
      </c>
      <c r="D132" s="43" t="s">
        <v>327</v>
      </c>
      <c r="E132" s="43" t="s">
        <v>161</v>
      </c>
      <c r="F132" s="43" t="s">
        <v>83</v>
      </c>
      <c r="G132" s="43" t="s">
        <v>67</v>
      </c>
      <c r="H132" s="43">
        <v>2</v>
      </c>
      <c r="I132" s="45">
        <v>149.99</v>
      </c>
      <c r="J132" s="43" t="s">
        <v>68</v>
      </c>
      <c r="K132" s="43" t="s">
        <v>81</v>
      </c>
      <c r="L132" s="43" t="s">
        <v>140</v>
      </c>
      <c r="M132" s="44">
        <v>44916</v>
      </c>
      <c r="N132" s="45">
        <v>299.98</v>
      </c>
      <c r="O132" s="43" t="str">
        <f t="shared" si="20"/>
        <v>OK</v>
      </c>
      <c r="P132" s="44">
        <f t="shared" si="21"/>
        <v>45596</v>
      </c>
      <c r="Q132" s="43" t="str">
        <f t="shared" si="22"/>
        <v>Oct-24</v>
      </c>
      <c r="R132" s="43">
        <f t="shared" si="23"/>
        <v>1</v>
      </c>
      <c r="S132" s="43">
        <f t="shared" si="24"/>
        <v>21</v>
      </c>
      <c r="T132" s="43">
        <f t="shared" ca="1" si="25"/>
        <v>735</v>
      </c>
      <c r="U132" s="43" t="str">
        <f t="shared" si="26"/>
        <v>LR</v>
      </c>
      <c r="V132" s="43" t="str">
        <f t="shared" si="27"/>
        <v>HEA</v>
      </c>
      <c r="W132" s="43" t="str">
        <f t="shared" si="28"/>
        <v>W-2410-190</v>
      </c>
      <c r="X132" s="43" t="str">
        <f>IF(COUNTIF($D$2:D132,D132)&gt;1,"Repeat","First")</f>
        <v>Repeat</v>
      </c>
      <c r="Y132" s="43" t="str">
        <f>IF(AND(K132=Filter!$B$4,N132&gt;=Filter!$B$5),MAX(Y$1:Y131)+1,"")</f>
        <v/>
      </c>
      <c r="Z132" s="43" t="str">
        <f t="shared" si="29"/>
        <v>2024-10</v>
      </c>
    </row>
    <row r="133" spans="1:26" x14ac:dyDescent="0.2">
      <c r="A133" s="43" t="s">
        <v>372</v>
      </c>
      <c r="B133" s="44">
        <v>45586</v>
      </c>
      <c r="C133" s="43" t="s">
        <v>326</v>
      </c>
      <c r="D133" s="43" t="s">
        <v>327</v>
      </c>
      <c r="E133" s="43" t="s">
        <v>219</v>
      </c>
      <c r="F133" s="43" t="s">
        <v>85</v>
      </c>
      <c r="G133" s="43" t="s">
        <v>67</v>
      </c>
      <c r="H133" s="43">
        <v>3</v>
      </c>
      <c r="I133" s="45">
        <v>89.99</v>
      </c>
      <c r="J133" s="43" t="s">
        <v>78</v>
      </c>
      <c r="K133" s="43" t="s">
        <v>61</v>
      </c>
      <c r="L133" s="43" t="s">
        <v>140</v>
      </c>
      <c r="M133" s="44">
        <v>44551</v>
      </c>
      <c r="N133" s="45">
        <v>269.97000000000003</v>
      </c>
      <c r="O133" s="43" t="str">
        <f t="shared" si="20"/>
        <v>OK</v>
      </c>
      <c r="P133" s="44">
        <f t="shared" si="21"/>
        <v>45596</v>
      </c>
      <c r="Q133" s="43" t="str">
        <f t="shared" si="22"/>
        <v>Oct-24</v>
      </c>
      <c r="R133" s="43">
        <f t="shared" si="23"/>
        <v>2</v>
      </c>
      <c r="S133" s="43">
        <f t="shared" si="24"/>
        <v>34</v>
      </c>
      <c r="T133" s="43">
        <f t="shared" ca="1" si="25"/>
        <v>732</v>
      </c>
      <c r="U133" s="43" t="str">
        <f t="shared" si="26"/>
        <v>LR</v>
      </c>
      <c r="V133" s="43" t="str">
        <f t="shared" si="27"/>
        <v>KEY</v>
      </c>
      <c r="W133" s="43" t="str">
        <f t="shared" si="28"/>
        <v>C-2410-079</v>
      </c>
      <c r="X133" s="43" t="str">
        <f>IF(COUNTIF($D$2:D133,D133)&gt;1,"Repeat","First")</f>
        <v>Repeat</v>
      </c>
      <c r="Y133" s="43" t="str">
        <f>IF(AND(K133=Filter!$B$4,N133&gt;=Filter!$B$5),MAX(Y$1:Y132)+1,"")</f>
        <v/>
      </c>
      <c r="Z133" s="43" t="str">
        <f t="shared" si="29"/>
        <v>2024-10</v>
      </c>
    </row>
    <row r="134" spans="1:26" x14ac:dyDescent="0.2">
      <c r="A134" s="43" t="s">
        <v>373</v>
      </c>
      <c r="B134" s="44">
        <v>45588</v>
      </c>
      <c r="C134" s="43" t="s">
        <v>151</v>
      </c>
      <c r="D134" s="43" t="s">
        <v>152</v>
      </c>
      <c r="E134" s="43" t="s">
        <v>161</v>
      </c>
      <c r="F134" s="43" t="s">
        <v>83</v>
      </c>
      <c r="G134" s="43" t="s">
        <v>67</v>
      </c>
      <c r="H134" s="43">
        <v>2</v>
      </c>
      <c r="I134" s="45">
        <v>149.99</v>
      </c>
      <c r="J134" s="43" t="s">
        <v>78</v>
      </c>
      <c r="K134" s="43" t="s">
        <v>61</v>
      </c>
      <c r="L134" s="43" t="s">
        <v>140</v>
      </c>
      <c r="M134" s="44">
        <v>44473</v>
      </c>
      <c r="N134" s="45">
        <v>299.98</v>
      </c>
      <c r="O134" s="43" t="str">
        <f t="shared" si="20"/>
        <v>OK</v>
      </c>
      <c r="P134" s="44">
        <f t="shared" si="21"/>
        <v>45596</v>
      </c>
      <c r="Q134" s="43" t="str">
        <f t="shared" si="22"/>
        <v>Oct-24</v>
      </c>
      <c r="R134" s="43">
        <f t="shared" si="23"/>
        <v>3</v>
      </c>
      <c r="S134" s="43">
        <f t="shared" si="24"/>
        <v>36</v>
      </c>
      <c r="T134" s="43">
        <f t="shared" ca="1" si="25"/>
        <v>730</v>
      </c>
      <c r="U134" s="43" t="str">
        <f t="shared" si="26"/>
        <v>KB</v>
      </c>
      <c r="V134" s="43" t="str">
        <f t="shared" si="27"/>
        <v>HEA</v>
      </c>
      <c r="W134" s="43" t="str">
        <f t="shared" si="28"/>
        <v>C-2410-095</v>
      </c>
      <c r="X134" s="43" t="str">
        <f>IF(COUNTIF($D$2:D134,D134)&gt;1,"Repeat","First")</f>
        <v>Repeat</v>
      </c>
      <c r="Y134" s="43" t="str">
        <f>IF(AND(K134=Filter!$B$4,N134&gt;=Filter!$B$5),MAX(Y$1:Y133)+1,"")</f>
        <v/>
      </c>
      <c r="Z134" s="43" t="str">
        <f t="shared" si="29"/>
        <v>2024-10</v>
      </c>
    </row>
    <row r="135" spans="1:26" x14ac:dyDescent="0.2">
      <c r="A135" s="43" t="s">
        <v>374</v>
      </c>
      <c r="B135" s="44">
        <v>45588</v>
      </c>
      <c r="C135" s="43" t="s">
        <v>254</v>
      </c>
      <c r="D135" s="43" t="s">
        <v>255</v>
      </c>
      <c r="E135" s="43" t="s">
        <v>185</v>
      </c>
      <c r="F135" s="43" t="s">
        <v>93</v>
      </c>
      <c r="G135" s="43" t="s">
        <v>67</v>
      </c>
      <c r="H135" s="43">
        <v>2</v>
      </c>
      <c r="I135" s="45">
        <v>699.99</v>
      </c>
      <c r="J135" s="43" t="s">
        <v>63</v>
      </c>
      <c r="K135" s="43" t="s">
        <v>61</v>
      </c>
      <c r="L135" s="43" t="s">
        <v>140</v>
      </c>
      <c r="M135" s="44">
        <v>44992</v>
      </c>
      <c r="N135" s="45">
        <v>1399.98</v>
      </c>
      <c r="O135" s="43" t="str">
        <f t="shared" si="20"/>
        <v>OK</v>
      </c>
      <c r="P135" s="44">
        <f t="shared" si="21"/>
        <v>45596</v>
      </c>
      <c r="Q135" s="43" t="str">
        <f t="shared" si="22"/>
        <v>Oct-24</v>
      </c>
      <c r="R135" s="43">
        <f t="shared" si="23"/>
        <v>1</v>
      </c>
      <c r="S135" s="43">
        <f t="shared" si="24"/>
        <v>19</v>
      </c>
      <c r="T135" s="43">
        <f t="shared" ca="1" si="25"/>
        <v>730</v>
      </c>
      <c r="U135" s="43" t="str">
        <f t="shared" si="26"/>
        <v>SD</v>
      </c>
      <c r="V135" s="43" t="str">
        <f t="shared" si="27"/>
        <v>SMA</v>
      </c>
      <c r="W135" s="43" t="str">
        <f t="shared" si="28"/>
        <v>C-2410-009</v>
      </c>
      <c r="X135" s="43" t="str">
        <f>IF(COUNTIF($D$2:D135,D135)&gt;1,"Repeat","First")</f>
        <v>Repeat</v>
      </c>
      <c r="Y135" s="43" t="str">
        <f>IF(AND(K135=Filter!$B$4,N135&gt;=Filter!$B$5),MAX(Y$1:Y134)+1,"")</f>
        <v/>
      </c>
      <c r="Z135" s="43" t="str">
        <f t="shared" si="29"/>
        <v>2024-10</v>
      </c>
    </row>
    <row r="136" spans="1:26" x14ac:dyDescent="0.2">
      <c r="A136" s="43" t="s">
        <v>375</v>
      </c>
      <c r="B136" s="44">
        <v>45589</v>
      </c>
      <c r="C136" s="43" t="s">
        <v>258</v>
      </c>
      <c r="D136" s="43" t="s">
        <v>259</v>
      </c>
      <c r="E136" s="43" t="s">
        <v>185</v>
      </c>
      <c r="F136" s="43" t="s">
        <v>93</v>
      </c>
      <c r="G136" s="43" t="s">
        <v>67</v>
      </c>
      <c r="H136" s="43">
        <v>5</v>
      </c>
      <c r="I136" s="45">
        <v>699.99</v>
      </c>
      <c r="J136" s="43" t="s">
        <v>63</v>
      </c>
      <c r="K136" s="43" t="s">
        <v>71</v>
      </c>
      <c r="L136" s="43" t="s">
        <v>144</v>
      </c>
      <c r="M136" s="44">
        <v>44635</v>
      </c>
      <c r="N136" s="45">
        <v>3499.95</v>
      </c>
      <c r="O136" s="43" t="str">
        <f t="shared" si="20"/>
        <v>OK</v>
      </c>
      <c r="P136" s="44">
        <f t="shared" si="21"/>
        <v>45596</v>
      </c>
      <c r="Q136" s="43" t="str">
        <f t="shared" si="22"/>
        <v>Oct-24</v>
      </c>
      <c r="R136" s="43">
        <f t="shared" si="23"/>
        <v>2</v>
      </c>
      <c r="S136" s="43">
        <f t="shared" si="24"/>
        <v>31</v>
      </c>
      <c r="T136" s="43">
        <f t="shared" ca="1" si="25"/>
        <v>729</v>
      </c>
      <c r="U136" s="43" t="str">
        <f t="shared" si="26"/>
        <v>BC</v>
      </c>
      <c r="V136" s="43" t="str">
        <f t="shared" si="27"/>
        <v>SMA</v>
      </c>
      <c r="W136" s="43" t="str">
        <f t="shared" si="28"/>
        <v>N-2410-167</v>
      </c>
      <c r="X136" s="43" t="str">
        <f>IF(COUNTIF($D$2:D136,D136)&gt;1,"Repeat","First")</f>
        <v>Repeat</v>
      </c>
      <c r="Y136" s="43" t="str">
        <f>IF(AND(K136=Filter!$B$4,N136&gt;=Filter!$B$5),MAX(Y$1:Y135)+1,"")</f>
        <v/>
      </c>
      <c r="Z136" s="43" t="str">
        <f t="shared" si="29"/>
        <v>2024-10</v>
      </c>
    </row>
    <row r="137" spans="1:26" x14ac:dyDescent="0.2">
      <c r="A137" s="43" t="s">
        <v>376</v>
      </c>
      <c r="B137" s="44">
        <v>45592</v>
      </c>
      <c r="C137" s="43" t="s">
        <v>271</v>
      </c>
      <c r="D137" s="43" t="s">
        <v>272</v>
      </c>
      <c r="E137" s="43" t="s">
        <v>219</v>
      </c>
      <c r="F137" s="43" t="s">
        <v>85</v>
      </c>
      <c r="G137" s="43" t="s">
        <v>67</v>
      </c>
      <c r="H137" s="43">
        <v>3</v>
      </c>
      <c r="I137" s="45">
        <v>89.99</v>
      </c>
      <c r="J137" s="43" t="s">
        <v>68</v>
      </c>
      <c r="K137" s="43" t="s">
        <v>71</v>
      </c>
      <c r="L137" s="43" t="s">
        <v>149</v>
      </c>
      <c r="M137" s="44">
        <v>44615</v>
      </c>
      <c r="N137" s="45">
        <v>269.97000000000003</v>
      </c>
      <c r="O137" s="43" t="str">
        <f t="shared" si="20"/>
        <v>OK</v>
      </c>
      <c r="P137" s="44">
        <f t="shared" si="21"/>
        <v>45596</v>
      </c>
      <c r="Q137" s="43" t="str">
        <f t="shared" si="22"/>
        <v>Oct-24</v>
      </c>
      <c r="R137" s="43">
        <f t="shared" si="23"/>
        <v>2</v>
      </c>
      <c r="S137" s="43">
        <f t="shared" si="24"/>
        <v>32</v>
      </c>
      <c r="T137" s="43">
        <f t="shared" ca="1" si="25"/>
        <v>726</v>
      </c>
      <c r="U137" s="43" t="str">
        <f t="shared" si="26"/>
        <v>RR</v>
      </c>
      <c r="V137" s="43" t="str">
        <f t="shared" si="27"/>
        <v>KEY</v>
      </c>
      <c r="W137" s="43" t="str">
        <f t="shared" si="28"/>
        <v>N-2410-153</v>
      </c>
      <c r="X137" s="43" t="str">
        <f>IF(COUNTIF($D$2:D137,D137)&gt;1,"Repeat","First")</f>
        <v>Repeat</v>
      </c>
      <c r="Y137" s="43" t="str">
        <f>IF(AND(K137=Filter!$B$4,N137&gt;=Filter!$B$5),MAX(Y$1:Y136)+1,"")</f>
        <v/>
      </c>
      <c r="Z137" s="43" t="str">
        <f t="shared" si="29"/>
        <v>2024-10</v>
      </c>
    </row>
    <row r="138" spans="1:26" x14ac:dyDescent="0.2">
      <c r="A138" s="43" t="s">
        <v>377</v>
      </c>
      <c r="B138" s="44">
        <v>45597</v>
      </c>
      <c r="C138" s="43" t="s">
        <v>137</v>
      </c>
      <c r="D138" s="43" t="s">
        <v>138</v>
      </c>
      <c r="E138" s="43" t="s">
        <v>139</v>
      </c>
      <c r="F138" s="43" t="s">
        <v>89</v>
      </c>
      <c r="G138" s="43" t="s">
        <v>67</v>
      </c>
      <c r="H138" s="43">
        <v>5</v>
      </c>
      <c r="I138" s="45">
        <v>249.99</v>
      </c>
      <c r="J138" s="43" t="s">
        <v>68</v>
      </c>
      <c r="K138" s="43" t="s">
        <v>76</v>
      </c>
      <c r="L138" s="43" t="s">
        <v>149</v>
      </c>
      <c r="M138" s="44">
        <v>44881</v>
      </c>
      <c r="N138" s="45">
        <v>1249.95</v>
      </c>
      <c r="O138" s="43" t="str">
        <f t="shared" si="20"/>
        <v>OK</v>
      </c>
      <c r="P138" s="44">
        <f t="shared" si="21"/>
        <v>45626</v>
      </c>
      <c r="Q138" s="43" t="str">
        <f t="shared" si="22"/>
        <v>Nov-24</v>
      </c>
      <c r="R138" s="43">
        <f t="shared" si="23"/>
        <v>1</v>
      </c>
      <c r="S138" s="43">
        <f t="shared" si="24"/>
        <v>23</v>
      </c>
      <c r="T138" s="43">
        <f t="shared" ca="1" si="25"/>
        <v>721</v>
      </c>
      <c r="U138" s="43" t="str">
        <f t="shared" si="26"/>
        <v>PB</v>
      </c>
      <c r="V138" s="43" t="str">
        <f t="shared" si="27"/>
        <v>MON</v>
      </c>
      <c r="W138" s="43" t="str">
        <f t="shared" si="28"/>
        <v>S-2411-057</v>
      </c>
      <c r="X138" s="43" t="str">
        <f>IF(COUNTIF($D$2:D138,D138)&gt;1,"Repeat","First")</f>
        <v>Repeat</v>
      </c>
      <c r="Y138" s="43" t="str">
        <f>IF(AND(K138=Filter!$B$4,N138&gt;=Filter!$B$5),MAX(Y$1:Y137)+1,"")</f>
        <v/>
      </c>
      <c r="Z138" s="43" t="str">
        <f t="shared" si="29"/>
        <v>2024-11</v>
      </c>
    </row>
    <row r="139" spans="1:26" x14ac:dyDescent="0.2">
      <c r="A139" s="43" t="s">
        <v>378</v>
      </c>
      <c r="B139" s="44">
        <v>45600</v>
      </c>
      <c r="C139" s="43" t="s">
        <v>170</v>
      </c>
      <c r="D139" s="43" t="s">
        <v>171</v>
      </c>
      <c r="E139" s="43" t="s">
        <v>209</v>
      </c>
      <c r="F139" s="43" t="s">
        <v>80</v>
      </c>
      <c r="G139" s="43" t="s">
        <v>72</v>
      </c>
      <c r="H139" s="43">
        <v>3</v>
      </c>
      <c r="I139" s="45">
        <v>299.99</v>
      </c>
      <c r="J139" s="43" t="s">
        <v>68</v>
      </c>
      <c r="K139" s="43" t="s">
        <v>76</v>
      </c>
      <c r="L139" s="43" t="s">
        <v>149</v>
      </c>
      <c r="M139" s="44">
        <v>44502</v>
      </c>
      <c r="N139" s="45">
        <v>899.97</v>
      </c>
      <c r="O139" s="43" t="str">
        <f t="shared" si="20"/>
        <v>OK</v>
      </c>
      <c r="P139" s="44">
        <f t="shared" si="21"/>
        <v>45626</v>
      </c>
      <c r="Q139" s="43" t="str">
        <f t="shared" si="22"/>
        <v>Nov-24</v>
      </c>
      <c r="R139" s="43">
        <f t="shared" si="23"/>
        <v>3</v>
      </c>
      <c r="S139" s="43">
        <f t="shared" si="24"/>
        <v>36</v>
      </c>
      <c r="T139" s="43">
        <f t="shared" ca="1" si="25"/>
        <v>718</v>
      </c>
      <c r="U139" s="43" t="str">
        <f t="shared" si="26"/>
        <v>KH</v>
      </c>
      <c r="V139" s="43" t="str">
        <f t="shared" si="27"/>
        <v>DES</v>
      </c>
      <c r="W139" s="43" t="str">
        <f t="shared" si="28"/>
        <v>S-2411-017</v>
      </c>
      <c r="X139" s="43" t="str">
        <f>IF(COUNTIF($D$2:D139,D139)&gt;1,"Repeat","First")</f>
        <v>Repeat</v>
      </c>
      <c r="Y139" s="43" t="str">
        <f>IF(AND(K139=Filter!$B$4,N139&gt;=Filter!$B$5),MAX(Y$1:Y138)+1,"")</f>
        <v/>
      </c>
      <c r="Z139" s="43" t="str">
        <f t="shared" si="29"/>
        <v>2024-11</v>
      </c>
    </row>
    <row r="140" spans="1:26" x14ac:dyDescent="0.2">
      <c r="A140" s="43" t="s">
        <v>379</v>
      </c>
      <c r="B140" s="44">
        <v>45603</v>
      </c>
      <c r="C140" s="43" t="s">
        <v>203</v>
      </c>
      <c r="D140" s="43" t="s">
        <v>204</v>
      </c>
      <c r="E140" s="43" t="s">
        <v>219</v>
      </c>
      <c r="F140" s="43" t="s">
        <v>85</v>
      </c>
      <c r="G140" s="43" t="s">
        <v>67</v>
      </c>
      <c r="H140" s="43">
        <v>3</v>
      </c>
      <c r="I140" s="45">
        <v>89.99</v>
      </c>
      <c r="J140" s="43" t="s">
        <v>68</v>
      </c>
      <c r="K140" s="43" t="s">
        <v>71</v>
      </c>
      <c r="L140" s="43" t="s">
        <v>144</v>
      </c>
      <c r="M140" s="44">
        <v>44420</v>
      </c>
      <c r="N140" s="45">
        <v>269.97000000000003</v>
      </c>
      <c r="O140" s="43" t="str">
        <f t="shared" si="20"/>
        <v>OK</v>
      </c>
      <c r="P140" s="44">
        <f t="shared" si="21"/>
        <v>45626</v>
      </c>
      <c r="Q140" s="43" t="str">
        <f t="shared" si="22"/>
        <v>Nov-24</v>
      </c>
      <c r="R140" s="43">
        <f t="shared" si="23"/>
        <v>3</v>
      </c>
      <c r="S140" s="43">
        <f t="shared" si="24"/>
        <v>38</v>
      </c>
      <c r="T140" s="43">
        <f t="shared" ca="1" si="25"/>
        <v>715</v>
      </c>
      <c r="U140" s="43" t="str">
        <f t="shared" si="26"/>
        <v>PM</v>
      </c>
      <c r="V140" s="43" t="str">
        <f t="shared" si="27"/>
        <v>KEY</v>
      </c>
      <c r="W140" s="43" t="str">
        <f t="shared" si="28"/>
        <v>N-2411-060</v>
      </c>
      <c r="X140" s="43" t="str">
        <f>IF(COUNTIF($D$2:D140,D140)&gt;1,"Repeat","First")</f>
        <v>Repeat</v>
      </c>
      <c r="Y140" s="43" t="str">
        <f>IF(AND(K140=Filter!$B$4,N140&gt;=Filter!$B$5),MAX(Y$1:Y139)+1,"")</f>
        <v/>
      </c>
      <c r="Z140" s="43" t="str">
        <f t="shared" si="29"/>
        <v>2024-11</v>
      </c>
    </row>
    <row r="141" spans="1:26" x14ac:dyDescent="0.2">
      <c r="A141" s="43" t="s">
        <v>380</v>
      </c>
      <c r="B141" s="44">
        <v>45604</v>
      </c>
      <c r="C141" s="43" t="s">
        <v>193</v>
      </c>
      <c r="D141" s="43" t="s">
        <v>194</v>
      </c>
      <c r="E141" s="43" t="s">
        <v>156</v>
      </c>
      <c r="F141" s="43" t="s">
        <v>70</v>
      </c>
      <c r="G141" s="43" t="s">
        <v>72</v>
      </c>
      <c r="H141" s="43">
        <v>2</v>
      </c>
      <c r="I141" s="45">
        <v>149.99</v>
      </c>
      <c r="J141" s="43" t="s">
        <v>68</v>
      </c>
      <c r="K141" s="43" t="s">
        <v>81</v>
      </c>
      <c r="L141" s="43" t="s">
        <v>144</v>
      </c>
      <c r="M141" s="44">
        <v>44848</v>
      </c>
      <c r="N141" s="45">
        <v>299.98</v>
      </c>
      <c r="O141" s="43" t="str">
        <f t="shared" si="20"/>
        <v>OK</v>
      </c>
      <c r="P141" s="44">
        <f t="shared" si="21"/>
        <v>45626</v>
      </c>
      <c r="Q141" s="43" t="str">
        <f t="shared" si="22"/>
        <v>Nov-24</v>
      </c>
      <c r="R141" s="43">
        <f t="shared" si="23"/>
        <v>2</v>
      </c>
      <c r="S141" s="43">
        <f t="shared" si="24"/>
        <v>24</v>
      </c>
      <c r="T141" s="43">
        <f t="shared" ca="1" si="25"/>
        <v>714</v>
      </c>
      <c r="U141" s="43" t="str">
        <f t="shared" si="26"/>
        <v>MG</v>
      </c>
      <c r="V141" s="43" t="str">
        <f t="shared" si="27"/>
        <v>BOO</v>
      </c>
      <c r="W141" s="43" t="str">
        <f t="shared" si="28"/>
        <v>W-2411-109</v>
      </c>
      <c r="X141" s="43" t="str">
        <f>IF(COUNTIF($D$2:D141,D141)&gt;1,"Repeat","First")</f>
        <v>Repeat</v>
      </c>
      <c r="Y141" s="43" t="str">
        <f>IF(AND(K141=Filter!$B$4,N141&gt;=Filter!$B$5),MAX(Y$1:Y140)+1,"")</f>
        <v/>
      </c>
      <c r="Z141" s="43" t="str">
        <f t="shared" si="29"/>
        <v>2024-11</v>
      </c>
    </row>
    <row r="142" spans="1:26" x14ac:dyDescent="0.2">
      <c r="A142" s="43" t="s">
        <v>381</v>
      </c>
      <c r="B142" s="44">
        <v>45605</v>
      </c>
      <c r="C142" s="43" t="s">
        <v>285</v>
      </c>
      <c r="D142" s="43" t="s">
        <v>286</v>
      </c>
      <c r="E142" s="43" t="s">
        <v>139</v>
      </c>
      <c r="F142" s="43" t="s">
        <v>89</v>
      </c>
      <c r="G142" s="43" t="s">
        <v>67</v>
      </c>
      <c r="H142" s="43">
        <v>1</v>
      </c>
      <c r="I142" s="45">
        <v>249.99</v>
      </c>
      <c r="J142" s="43" t="s">
        <v>68</v>
      </c>
      <c r="K142" s="43" t="s">
        <v>71</v>
      </c>
      <c r="L142" s="43" t="s">
        <v>144</v>
      </c>
      <c r="M142" s="44">
        <v>44828</v>
      </c>
      <c r="N142" s="45">
        <v>249.99</v>
      </c>
      <c r="O142" s="43" t="str">
        <f t="shared" si="20"/>
        <v>OK</v>
      </c>
      <c r="P142" s="44">
        <f t="shared" si="21"/>
        <v>45626</v>
      </c>
      <c r="Q142" s="43" t="str">
        <f t="shared" si="22"/>
        <v>Nov-24</v>
      </c>
      <c r="R142" s="43">
        <f t="shared" si="23"/>
        <v>2</v>
      </c>
      <c r="S142" s="43">
        <f t="shared" si="24"/>
        <v>25</v>
      </c>
      <c r="T142" s="43">
        <f t="shared" ca="1" si="25"/>
        <v>713</v>
      </c>
      <c r="U142" s="43" t="str">
        <f t="shared" si="26"/>
        <v>MW</v>
      </c>
      <c r="V142" s="43" t="str">
        <f t="shared" si="27"/>
        <v>MON</v>
      </c>
      <c r="W142" s="43" t="str">
        <f t="shared" si="28"/>
        <v>N-2411-090</v>
      </c>
      <c r="X142" s="43" t="str">
        <f>IF(COUNTIF($D$2:D142,D142)&gt;1,"Repeat","First")</f>
        <v>Repeat</v>
      </c>
      <c r="Y142" s="43" t="str">
        <f>IF(AND(K142=Filter!$B$4,N142&gt;=Filter!$B$5),MAX(Y$1:Y141)+1,"")</f>
        <v/>
      </c>
      <c r="Z142" s="43" t="str">
        <f t="shared" si="29"/>
        <v>2024-11</v>
      </c>
    </row>
    <row r="143" spans="1:26" x14ac:dyDescent="0.2">
      <c r="A143" s="43" t="s">
        <v>382</v>
      </c>
      <c r="B143" s="44">
        <v>45607</v>
      </c>
      <c r="C143" s="43" t="s">
        <v>177</v>
      </c>
      <c r="D143" s="43" t="s">
        <v>178</v>
      </c>
      <c r="E143" s="43" t="s">
        <v>161</v>
      </c>
      <c r="F143" s="43" t="s">
        <v>83</v>
      </c>
      <c r="G143" s="43" t="s">
        <v>67</v>
      </c>
      <c r="H143" s="43">
        <v>3</v>
      </c>
      <c r="I143" s="45">
        <v>149.99</v>
      </c>
      <c r="J143" s="43" t="s">
        <v>63</v>
      </c>
      <c r="K143" s="43" t="s">
        <v>71</v>
      </c>
      <c r="L143" s="43" t="s">
        <v>140</v>
      </c>
      <c r="M143" s="44">
        <v>44769</v>
      </c>
      <c r="N143" s="45">
        <v>449.97</v>
      </c>
      <c r="O143" s="43" t="str">
        <f t="shared" si="20"/>
        <v>OK</v>
      </c>
      <c r="P143" s="44">
        <f t="shared" si="21"/>
        <v>45626</v>
      </c>
      <c r="Q143" s="43" t="str">
        <f t="shared" si="22"/>
        <v>Nov-24</v>
      </c>
      <c r="R143" s="43">
        <f t="shared" si="23"/>
        <v>2</v>
      </c>
      <c r="S143" s="43">
        <f t="shared" si="24"/>
        <v>27</v>
      </c>
      <c r="T143" s="43">
        <f t="shared" ca="1" si="25"/>
        <v>711</v>
      </c>
      <c r="U143" s="43" t="str">
        <f t="shared" si="26"/>
        <v>PR</v>
      </c>
      <c r="V143" s="43" t="str">
        <f t="shared" si="27"/>
        <v>HEA</v>
      </c>
      <c r="W143" s="43" t="str">
        <f t="shared" si="28"/>
        <v>N-2411-035</v>
      </c>
      <c r="X143" s="43" t="str">
        <f>IF(COUNTIF($D$2:D143,D143)&gt;1,"Repeat","First")</f>
        <v>Repeat</v>
      </c>
      <c r="Y143" s="43" t="str">
        <f>IF(AND(K143=Filter!$B$4,N143&gt;=Filter!$B$5),MAX(Y$1:Y142)+1,"")</f>
        <v/>
      </c>
      <c r="Z143" s="43" t="str">
        <f t="shared" si="29"/>
        <v>2024-11</v>
      </c>
    </row>
    <row r="144" spans="1:26" x14ac:dyDescent="0.2">
      <c r="A144" s="43" t="s">
        <v>383</v>
      </c>
      <c r="B144" s="44">
        <v>45607</v>
      </c>
      <c r="C144" s="43" t="s">
        <v>137</v>
      </c>
      <c r="D144" s="43" t="s">
        <v>138</v>
      </c>
      <c r="E144" s="43" t="s">
        <v>148</v>
      </c>
      <c r="F144" s="43" t="s">
        <v>65</v>
      </c>
      <c r="G144" s="43" t="s">
        <v>62</v>
      </c>
      <c r="H144" s="43">
        <v>5</v>
      </c>
      <c r="I144" s="45">
        <v>59.99</v>
      </c>
      <c r="J144" s="43" t="s">
        <v>78</v>
      </c>
      <c r="K144" s="43" t="s">
        <v>81</v>
      </c>
      <c r="L144" s="43" t="s">
        <v>144</v>
      </c>
      <c r="M144" s="44">
        <v>44694</v>
      </c>
      <c r="N144" s="45">
        <v>299.95</v>
      </c>
      <c r="O144" s="43" t="str">
        <f t="shared" si="20"/>
        <v>OK</v>
      </c>
      <c r="P144" s="44">
        <f t="shared" si="21"/>
        <v>45626</v>
      </c>
      <c r="Q144" s="43" t="str">
        <f t="shared" si="22"/>
        <v>Nov-24</v>
      </c>
      <c r="R144" s="43">
        <f t="shared" si="23"/>
        <v>2</v>
      </c>
      <c r="S144" s="43">
        <f t="shared" si="24"/>
        <v>29</v>
      </c>
      <c r="T144" s="43">
        <f t="shared" ca="1" si="25"/>
        <v>711</v>
      </c>
      <c r="U144" s="43" t="str">
        <f t="shared" si="26"/>
        <v>PB</v>
      </c>
      <c r="V144" s="43" t="str">
        <f t="shared" si="27"/>
        <v>BLE</v>
      </c>
      <c r="W144" s="43" t="str">
        <f t="shared" si="28"/>
        <v>W-2411-172</v>
      </c>
      <c r="X144" s="43" t="str">
        <f>IF(COUNTIF($D$2:D144,D144)&gt;1,"Repeat","First")</f>
        <v>Repeat</v>
      </c>
      <c r="Y144" s="43" t="str">
        <f>IF(AND(K144=Filter!$B$4,N144&gt;=Filter!$B$5),MAX(Y$1:Y143)+1,"")</f>
        <v/>
      </c>
      <c r="Z144" s="43" t="str">
        <f t="shared" si="29"/>
        <v>2024-11</v>
      </c>
    </row>
    <row r="145" spans="1:26" x14ac:dyDescent="0.2">
      <c r="A145" s="43" t="s">
        <v>384</v>
      </c>
      <c r="B145" s="44">
        <v>45607</v>
      </c>
      <c r="C145" s="43" t="s">
        <v>203</v>
      </c>
      <c r="D145" s="43" t="s">
        <v>204</v>
      </c>
      <c r="E145" s="43" t="s">
        <v>139</v>
      </c>
      <c r="F145" s="43" t="s">
        <v>89</v>
      </c>
      <c r="G145" s="43" t="s">
        <v>67</v>
      </c>
      <c r="H145" s="43">
        <v>4</v>
      </c>
      <c r="I145" s="45">
        <v>249.99</v>
      </c>
      <c r="J145" s="43" t="s">
        <v>68</v>
      </c>
      <c r="K145" s="43" t="s">
        <v>81</v>
      </c>
      <c r="L145" s="43" t="s">
        <v>149</v>
      </c>
      <c r="M145" s="44">
        <v>44659</v>
      </c>
      <c r="N145" s="45">
        <v>999.96</v>
      </c>
      <c r="O145" s="43" t="str">
        <f t="shared" si="20"/>
        <v>OK</v>
      </c>
      <c r="P145" s="44">
        <f t="shared" si="21"/>
        <v>45626</v>
      </c>
      <c r="Q145" s="43" t="str">
        <f t="shared" si="22"/>
        <v>Nov-24</v>
      </c>
      <c r="R145" s="43">
        <f t="shared" si="23"/>
        <v>2</v>
      </c>
      <c r="S145" s="43">
        <f t="shared" si="24"/>
        <v>31</v>
      </c>
      <c r="T145" s="43">
        <f t="shared" ca="1" si="25"/>
        <v>711</v>
      </c>
      <c r="U145" s="43" t="str">
        <f t="shared" si="26"/>
        <v>PM</v>
      </c>
      <c r="V145" s="43" t="str">
        <f t="shared" si="27"/>
        <v>MON</v>
      </c>
      <c r="W145" s="43" t="str">
        <f t="shared" si="28"/>
        <v>W-2411-076</v>
      </c>
      <c r="X145" s="43" t="str">
        <f>IF(COUNTIF($D$2:D145,D145)&gt;1,"Repeat","First")</f>
        <v>Repeat</v>
      </c>
      <c r="Y145" s="43" t="str">
        <f>IF(AND(K145=Filter!$B$4,N145&gt;=Filter!$B$5),MAX(Y$1:Y144)+1,"")</f>
        <v/>
      </c>
      <c r="Z145" s="43" t="str">
        <f t="shared" si="29"/>
        <v>2024-11</v>
      </c>
    </row>
    <row r="146" spans="1:26" x14ac:dyDescent="0.2">
      <c r="A146" s="43" t="s">
        <v>385</v>
      </c>
      <c r="B146" s="44">
        <v>45608</v>
      </c>
      <c r="C146" s="43" t="s">
        <v>254</v>
      </c>
      <c r="D146" s="43" t="s">
        <v>255</v>
      </c>
      <c r="E146" s="43" t="s">
        <v>156</v>
      </c>
      <c r="F146" s="43" t="s">
        <v>70</v>
      </c>
      <c r="G146" s="43" t="s">
        <v>72</v>
      </c>
      <c r="H146" s="43">
        <v>5</v>
      </c>
      <c r="I146" s="45">
        <v>149.99</v>
      </c>
      <c r="J146" s="43" t="s">
        <v>78</v>
      </c>
      <c r="K146" s="43" t="s">
        <v>61</v>
      </c>
      <c r="L146" s="43" t="s">
        <v>140</v>
      </c>
      <c r="M146" s="44">
        <v>44901</v>
      </c>
      <c r="N146" s="45">
        <v>749.95</v>
      </c>
      <c r="O146" s="43" t="str">
        <f t="shared" si="20"/>
        <v>OK</v>
      </c>
      <c r="P146" s="44">
        <f t="shared" si="21"/>
        <v>45626</v>
      </c>
      <c r="Q146" s="43" t="str">
        <f t="shared" si="22"/>
        <v>Nov-24</v>
      </c>
      <c r="R146" s="43">
        <f t="shared" si="23"/>
        <v>1</v>
      </c>
      <c r="S146" s="43">
        <f t="shared" si="24"/>
        <v>23</v>
      </c>
      <c r="T146" s="43">
        <f t="shared" ca="1" si="25"/>
        <v>710</v>
      </c>
      <c r="U146" s="43" t="str">
        <f t="shared" si="26"/>
        <v>SD</v>
      </c>
      <c r="V146" s="43" t="str">
        <f t="shared" si="27"/>
        <v>BOO</v>
      </c>
      <c r="W146" s="43" t="str">
        <f t="shared" si="28"/>
        <v>C-2411-210</v>
      </c>
      <c r="X146" s="43" t="str">
        <f>IF(COUNTIF($D$2:D146,D146)&gt;1,"Repeat","First")</f>
        <v>Repeat</v>
      </c>
      <c r="Y146" s="43" t="str">
        <f>IF(AND(K146=Filter!$B$4,N146&gt;=Filter!$B$5),MAX(Y$1:Y145)+1,"")</f>
        <v/>
      </c>
      <c r="Z146" s="43" t="str">
        <f t="shared" si="29"/>
        <v>2024-11</v>
      </c>
    </row>
    <row r="147" spans="1:26" x14ac:dyDescent="0.2">
      <c r="A147" s="43" t="s">
        <v>386</v>
      </c>
      <c r="B147" s="44">
        <v>45608</v>
      </c>
      <c r="C147" s="43" t="s">
        <v>187</v>
      </c>
      <c r="D147" s="43" t="s">
        <v>188</v>
      </c>
      <c r="E147" s="43" t="s">
        <v>148</v>
      </c>
      <c r="F147" s="43" t="s">
        <v>65</v>
      </c>
      <c r="G147" s="43" t="s">
        <v>62</v>
      </c>
      <c r="H147" s="43">
        <v>3</v>
      </c>
      <c r="I147" s="45">
        <v>59.99</v>
      </c>
      <c r="J147" s="43" t="s">
        <v>73</v>
      </c>
      <c r="K147" s="43" t="s">
        <v>76</v>
      </c>
      <c r="L147" s="43" t="s">
        <v>149</v>
      </c>
      <c r="M147" s="44">
        <v>45260</v>
      </c>
      <c r="N147" s="45">
        <v>179.97</v>
      </c>
      <c r="O147" s="43" t="str">
        <f t="shared" si="20"/>
        <v>OK</v>
      </c>
      <c r="P147" s="44">
        <f t="shared" si="21"/>
        <v>45626</v>
      </c>
      <c r="Q147" s="43" t="str">
        <f t="shared" si="22"/>
        <v>Nov-24</v>
      </c>
      <c r="R147" s="43">
        <f t="shared" si="23"/>
        <v>0</v>
      </c>
      <c r="S147" s="43">
        <f t="shared" si="24"/>
        <v>11</v>
      </c>
      <c r="T147" s="43">
        <f t="shared" ca="1" si="25"/>
        <v>710</v>
      </c>
      <c r="U147" s="43" t="str">
        <f t="shared" si="26"/>
        <v>GA</v>
      </c>
      <c r="V147" s="43" t="str">
        <f t="shared" si="27"/>
        <v>BLE</v>
      </c>
      <c r="W147" s="43" t="str">
        <f t="shared" si="28"/>
        <v>S-2411-149</v>
      </c>
      <c r="X147" s="43" t="str">
        <f>IF(COUNTIF($D$2:D147,D147)&gt;1,"Repeat","First")</f>
        <v>Repeat</v>
      </c>
      <c r="Y147" s="43" t="str">
        <f>IF(AND(K147=Filter!$B$4,N147&gt;=Filter!$B$5),MAX(Y$1:Y146)+1,"")</f>
        <v/>
      </c>
      <c r="Z147" s="43" t="str">
        <f t="shared" si="29"/>
        <v>2024-11</v>
      </c>
    </row>
    <row r="148" spans="1:26" x14ac:dyDescent="0.2">
      <c r="A148" s="43" t="s">
        <v>387</v>
      </c>
      <c r="B148" s="44">
        <v>45613</v>
      </c>
      <c r="C148" s="43" t="s">
        <v>334</v>
      </c>
      <c r="D148" s="43" t="s">
        <v>335</v>
      </c>
      <c r="E148" s="43" t="s">
        <v>156</v>
      </c>
      <c r="F148" s="43" t="s">
        <v>70</v>
      </c>
      <c r="G148" s="43" t="s">
        <v>72</v>
      </c>
      <c r="H148" s="43">
        <v>5</v>
      </c>
      <c r="I148" s="45">
        <v>149.99</v>
      </c>
      <c r="J148" s="43" t="s">
        <v>63</v>
      </c>
      <c r="K148" s="43" t="s">
        <v>71</v>
      </c>
      <c r="L148" s="43" t="s">
        <v>140</v>
      </c>
      <c r="M148" s="44">
        <v>44869</v>
      </c>
      <c r="N148" s="45">
        <v>749.95</v>
      </c>
      <c r="O148" s="43" t="str">
        <f t="shared" si="20"/>
        <v>OK</v>
      </c>
      <c r="P148" s="44">
        <f t="shared" si="21"/>
        <v>45626</v>
      </c>
      <c r="Q148" s="43" t="str">
        <f t="shared" si="22"/>
        <v>Nov-24</v>
      </c>
      <c r="R148" s="43">
        <f t="shared" si="23"/>
        <v>2</v>
      </c>
      <c r="S148" s="43">
        <f t="shared" si="24"/>
        <v>24</v>
      </c>
      <c r="T148" s="43">
        <f t="shared" ca="1" si="25"/>
        <v>705</v>
      </c>
      <c r="U148" s="43" t="str">
        <f t="shared" si="26"/>
        <v>SP</v>
      </c>
      <c r="V148" s="43" t="str">
        <f t="shared" si="27"/>
        <v>BOO</v>
      </c>
      <c r="W148" s="43" t="str">
        <f t="shared" si="28"/>
        <v>N-2411-073</v>
      </c>
      <c r="X148" s="43" t="str">
        <f>IF(COUNTIF($D$2:D148,D148)&gt;1,"Repeat","First")</f>
        <v>Repeat</v>
      </c>
      <c r="Y148" s="43" t="str">
        <f>IF(AND(K148=Filter!$B$4,N148&gt;=Filter!$B$5),MAX(Y$1:Y147)+1,"")</f>
        <v/>
      </c>
      <c r="Z148" s="43" t="str">
        <f t="shared" si="29"/>
        <v>2024-11</v>
      </c>
    </row>
    <row r="149" spans="1:26" x14ac:dyDescent="0.2">
      <c r="A149" s="43" t="s">
        <v>388</v>
      </c>
      <c r="B149" s="44">
        <v>45613</v>
      </c>
      <c r="C149" s="43" t="s">
        <v>190</v>
      </c>
      <c r="D149" s="43" t="s">
        <v>191</v>
      </c>
      <c r="E149" s="43" t="s">
        <v>185</v>
      </c>
      <c r="F149" s="43" t="s">
        <v>93</v>
      </c>
      <c r="G149" s="43" t="s">
        <v>67</v>
      </c>
      <c r="H149" s="43">
        <v>2</v>
      </c>
      <c r="I149" s="45">
        <v>699.99</v>
      </c>
      <c r="J149" s="43" t="s">
        <v>78</v>
      </c>
      <c r="K149" s="43" t="s">
        <v>81</v>
      </c>
      <c r="L149" s="43" t="s">
        <v>149</v>
      </c>
      <c r="M149" s="44">
        <v>44770</v>
      </c>
      <c r="N149" s="45">
        <v>1399.98</v>
      </c>
      <c r="O149" s="43" t="str">
        <f t="shared" si="20"/>
        <v>OK</v>
      </c>
      <c r="P149" s="44">
        <f t="shared" si="21"/>
        <v>45626</v>
      </c>
      <c r="Q149" s="43" t="str">
        <f t="shared" si="22"/>
        <v>Nov-24</v>
      </c>
      <c r="R149" s="43">
        <f t="shared" si="23"/>
        <v>2</v>
      </c>
      <c r="S149" s="43">
        <f t="shared" si="24"/>
        <v>27</v>
      </c>
      <c r="T149" s="43">
        <f t="shared" ca="1" si="25"/>
        <v>705</v>
      </c>
      <c r="U149" s="43" t="str">
        <f t="shared" si="26"/>
        <v>MC</v>
      </c>
      <c r="V149" s="43" t="str">
        <f t="shared" si="27"/>
        <v>SMA</v>
      </c>
      <c r="W149" s="43" t="str">
        <f t="shared" si="28"/>
        <v>W-2411-033</v>
      </c>
      <c r="X149" s="43" t="str">
        <f>IF(COUNTIF($D$2:D149,D149)&gt;1,"Repeat","First")</f>
        <v>Repeat</v>
      </c>
      <c r="Y149" s="43">
        <f>IF(AND(K149=Filter!$B$4,N149&gt;=Filter!$B$5),MAX(Y$1:Y148)+1,"")</f>
        <v>8</v>
      </c>
      <c r="Z149" s="43" t="str">
        <f t="shared" si="29"/>
        <v>2024-11</v>
      </c>
    </row>
    <row r="150" spans="1:26" x14ac:dyDescent="0.2">
      <c r="A150" s="43" t="s">
        <v>389</v>
      </c>
      <c r="B150" s="44">
        <v>45617</v>
      </c>
      <c r="C150" s="43" t="s">
        <v>224</v>
      </c>
      <c r="D150" s="43" t="s">
        <v>225</v>
      </c>
      <c r="E150" s="43" t="s">
        <v>227</v>
      </c>
      <c r="F150" s="43" t="s">
        <v>91</v>
      </c>
      <c r="G150" s="43" t="s">
        <v>72</v>
      </c>
      <c r="H150" s="43">
        <v>4</v>
      </c>
      <c r="I150" s="45">
        <v>199.99</v>
      </c>
      <c r="J150" s="43" t="s">
        <v>73</v>
      </c>
      <c r="K150" s="43" t="s">
        <v>61</v>
      </c>
      <c r="L150" s="43" t="s">
        <v>144</v>
      </c>
      <c r="M150" s="44">
        <v>44427</v>
      </c>
      <c r="N150" s="45">
        <v>799.96</v>
      </c>
      <c r="O150" s="43" t="str">
        <f t="shared" si="20"/>
        <v>OK</v>
      </c>
      <c r="P150" s="44">
        <f t="shared" si="21"/>
        <v>45626</v>
      </c>
      <c r="Q150" s="43" t="str">
        <f t="shared" si="22"/>
        <v>Nov-24</v>
      </c>
      <c r="R150" s="43">
        <f t="shared" si="23"/>
        <v>3</v>
      </c>
      <c r="S150" s="43">
        <f t="shared" si="24"/>
        <v>39</v>
      </c>
      <c r="T150" s="43">
        <f t="shared" ca="1" si="25"/>
        <v>701</v>
      </c>
      <c r="U150" s="43" t="str">
        <f t="shared" si="26"/>
        <v>EM</v>
      </c>
      <c r="V150" s="43" t="str">
        <f t="shared" si="27"/>
        <v>OFF</v>
      </c>
      <c r="W150" s="43" t="str">
        <f t="shared" si="28"/>
        <v>C-2411-160</v>
      </c>
      <c r="X150" s="43" t="str">
        <f>IF(COUNTIF($D$2:D150,D150)&gt;1,"Repeat","First")</f>
        <v>Repeat</v>
      </c>
      <c r="Y150" s="43" t="str">
        <f>IF(AND(K150=Filter!$B$4,N150&gt;=Filter!$B$5),MAX(Y$1:Y149)+1,"")</f>
        <v/>
      </c>
      <c r="Z150" s="43" t="str">
        <f t="shared" si="29"/>
        <v>2024-11</v>
      </c>
    </row>
    <row r="151" spans="1:26" x14ac:dyDescent="0.2">
      <c r="A151" s="43" t="s">
        <v>390</v>
      </c>
      <c r="B151" s="44">
        <v>45619</v>
      </c>
      <c r="C151" s="43" t="s">
        <v>292</v>
      </c>
      <c r="D151" s="43" t="s">
        <v>293</v>
      </c>
      <c r="E151" s="43" t="s">
        <v>148</v>
      </c>
      <c r="F151" s="43" t="s">
        <v>65</v>
      </c>
      <c r="G151" s="43" t="s">
        <v>62</v>
      </c>
      <c r="H151" s="43">
        <v>1</v>
      </c>
      <c r="I151" s="45">
        <v>59.99</v>
      </c>
      <c r="J151" s="43" t="s">
        <v>73</v>
      </c>
      <c r="K151" s="43" t="s">
        <v>81</v>
      </c>
      <c r="L151" s="43" t="s">
        <v>149</v>
      </c>
      <c r="M151" s="44">
        <v>44560</v>
      </c>
      <c r="N151" s="45">
        <v>59.99</v>
      </c>
      <c r="O151" s="43" t="str">
        <f t="shared" si="20"/>
        <v>OK</v>
      </c>
      <c r="P151" s="44">
        <f t="shared" si="21"/>
        <v>45626</v>
      </c>
      <c r="Q151" s="43" t="str">
        <f t="shared" si="22"/>
        <v>Nov-24</v>
      </c>
      <c r="R151" s="43">
        <f t="shared" si="23"/>
        <v>2</v>
      </c>
      <c r="S151" s="43">
        <f t="shared" si="24"/>
        <v>34</v>
      </c>
      <c r="T151" s="43">
        <f t="shared" ca="1" si="25"/>
        <v>699</v>
      </c>
      <c r="U151" s="43" t="str">
        <f t="shared" si="26"/>
        <v>FT</v>
      </c>
      <c r="V151" s="43" t="str">
        <f t="shared" si="27"/>
        <v>BLE</v>
      </c>
      <c r="W151" s="43" t="str">
        <f t="shared" si="28"/>
        <v>W-2411-145</v>
      </c>
      <c r="X151" s="43" t="str">
        <f>IF(COUNTIF($D$2:D151,D151)&gt;1,"Repeat","First")</f>
        <v>Repeat</v>
      </c>
      <c r="Y151" s="43" t="str">
        <f>IF(AND(K151=Filter!$B$4,N151&gt;=Filter!$B$5),MAX(Y$1:Y150)+1,"")</f>
        <v/>
      </c>
      <c r="Z151" s="43" t="str">
        <f t="shared" si="29"/>
        <v>2024-11</v>
      </c>
    </row>
    <row r="152" spans="1:26" x14ac:dyDescent="0.2">
      <c r="A152" s="43" t="s">
        <v>391</v>
      </c>
      <c r="B152" s="44">
        <v>45619</v>
      </c>
      <c r="C152" s="43" t="s">
        <v>254</v>
      </c>
      <c r="D152" s="43" t="s">
        <v>255</v>
      </c>
      <c r="E152" s="43" t="s">
        <v>185</v>
      </c>
      <c r="F152" s="43" t="s">
        <v>93</v>
      </c>
      <c r="G152" s="43" t="s">
        <v>67</v>
      </c>
      <c r="H152" s="43">
        <v>3</v>
      </c>
      <c r="I152" s="45">
        <v>699.99</v>
      </c>
      <c r="J152" s="43" t="s">
        <v>78</v>
      </c>
      <c r="K152" s="43" t="s">
        <v>81</v>
      </c>
      <c r="L152" s="43" t="s">
        <v>149</v>
      </c>
      <c r="M152" s="44">
        <v>44583</v>
      </c>
      <c r="N152" s="45">
        <v>2099.9699999999998</v>
      </c>
      <c r="O152" s="43" t="str">
        <f t="shared" si="20"/>
        <v>OK</v>
      </c>
      <c r="P152" s="44">
        <f t="shared" si="21"/>
        <v>45626</v>
      </c>
      <c r="Q152" s="43" t="str">
        <f t="shared" si="22"/>
        <v>Nov-24</v>
      </c>
      <c r="R152" s="43">
        <f t="shared" si="23"/>
        <v>2</v>
      </c>
      <c r="S152" s="43">
        <f t="shared" si="24"/>
        <v>34</v>
      </c>
      <c r="T152" s="43">
        <f t="shared" ca="1" si="25"/>
        <v>699</v>
      </c>
      <c r="U152" s="43" t="str">
        <f t="shared" si="26"/>
        <v>SD</v>
      </c>
      <c r="V152" s="43" t="str">
        <f t="shared" si="27"/>
        <v>SMA</v>
      </c>
      <c r="W152" s="43" t="str">
        <f t="shared" si="28"/>
        <v>W-2411-148</v>
      </c>
      <c r="X152" s="43" t="str">
        <f>IF(COUNTIF($D$2:D152,D152)&gt;1,"Repeat","First")</f>
        <v>Repeat</v>
      </c>
      <c r="Y152" s="43">
        <f>IF(AND(K152=Filter!$B$4,N152&gt;=Filter!$B$5),MAX(Y$1:Y151)+1,"")</f>
        <v>9</v>
      </c>
      <c r="Z152" s="43" t="str">
        <f t="shared" si="29"/>
        <v>2024-11</v>
      </c>
    </row>
    <row r="153" spans="1:26" x14ac:dyDescent="0.2">
      <c r="A153" s="43" t="s">
        <v>392</v>
      </c>
      <c r="B153" s="44">
        <v>45622</v>
      </c>
      <c r="C153" s="43" t="s">
        <v>393</v>
      </c>
      <c r="D153" s="43" t="s">
        <v>394</v>
      </c>
      <c r="E153" s="43" t="s">
        <v>139</v>
      </c>
      <c r="F153" s="43" t="s">
        <v>89</v>
      </c>
      <c r="G153" s="43" t="s">
        <v>67</v>
      </c>
      <c r="H153" s="43">
        <v>5</v>
      </c>
      <c r="I153" s="45">
        <v>249.99</v>
      </c>
      <c r="J153" s="43" t="s">
        <v>68</v>
      </c>
      <c r="K153" s="43" t="s">
        <v>71</v>
      </c>
      <c r="L153" s="43" t="s">
        <v>140</v>
      </c>
      <c r="M153" s="44">
        <v>44873</v>
      </c>
      <c r="N153" s="45">
        <v>1249.95</v>
      </c>
      <c r="O153" s="43" t="str">
        <f t="shared" si="20"/>
        <v>OK</v>
      </c>
      <c r="P153" s="44">
        <f t="shared" si="21"/>
        <v>45626</v>
      </c>
      <c r="Q153" s="43" t="str">
        <f t="shared" si="22"/>
        <v>Nov-24</v>
      </c>
      <c r="R153" s="43">
        <f t="shared" si="23"/>
        <v>2</v>
      </c>
      <c r="S153" s="43">
        <f t="shared" si="24"/>
        <v>24</v>
      </c>
      <c r="T153" s="43">
        <f t="shared" ca="1" si="25"/>
        <v>696</v>
      </c>
      <c r="U153" s="43" t="str">
        <f t="shared" si="26"/>
        <v>DW</v>
      </c>
      <c r="V153" s="43" t="str">
        <f t="shared" si="27"/>
        <v>MON</v>
      </c>
      <c r="W153" s="43" t="str">
        <f t="shared" si="28"/>
        <v>N-2411-012</v>
      </c>
      <c r="X153" s="43" t="str">
        <f>IF(COUNTIF($D$2:D153,D153)&gt;1,"Repeat","First")</f>
        <v>First</v>
      </c>
      <c r="Y153" s="43" t="str">
        <f>IF(AND(K153=Filter!$B$4,N153&gt;=Filter!$B$5),MAX(Y$1:Y152)+1,"")</f>
        <v/>
      </c>
      <c r="Z153" s="43" t="str">
        <f t="shared" si="29"/>
        <v>2024-11</v>
      </c>
    </row>
    <row r="154" spans="1:26" x14ac:dyDescent="0.2">
      <c r="A154" s="43" t="s">
        <v>395</v>
      </c>
      <c r="B154" s="44">
        <v>45623</v>
      </c>
      <c r="C154" s="43" t="s">
        <v>215</v>
      </c>
      <c r="D154" s="43" t="s">
        <v>216</v>
      </c>
      <c r="E154" s="43" t="s">
        <v>156</v>
      </c>
      <c r="F154" s="43" t="s">
        <v>70</v>
      </c>
      <c r="G154" s="43" t="s">
        <v>72</v>
      </c>
      <c r="H154" s="43">
        <v>2</v>
      </c>
      <c r="I154" s="45">
        <v>149.99</v>
      </c>
      <c r="J154" s="43" t="s">
        <v>63</v>
      </c>
      <c r="K154" s="43" t="s">
        <v>76</v>
      </c>
      <c r="L154" s="43" t="s">
        <v>149</v>
      </c>
      <c r="M154" s="44">
        <v>45101</v>
      </c>
      <c r="N154" s="45">
        <v>299.98</v>
      </c>
      <c r="O154" s="43" t="str">
        <f t="shared" si="20"/>
        <v>OK</v>
      </c>
      <c r="P154" s="44">
        <f t="shared" si="21"/>
        <v>45626</v>
      </c>
      <c r="Q154" s="43" t="str">
        <f t="shared" si="22"/>
        <v>Nov-24</v>
      </c>
      <c r="R154" s="43">
        <f t="shared" si="23"/>
        <v>1</v>
      </c>
      <c r="S154" s="43">
        <f t="shared" si="24"/>
        <v>17</v>
      </c>
      <c r="T154" s="43">
        <f t="shared" ca="1" si="25"/>
        <v>695</v>
      </c>
      <c r="U154" s="43" t="str">
        <f t="shared" si="26"/>
        <v>LM</v>
      </c>
      <c r="V154" s="43" t="str">
        <f t="shared" si="27"/>
        <v>BOO</v>
      </c>
      <c r="W154" s="43" t="str">
        <f t="shared" si="28"/>
        <v>S-2411-206</v>
      </c>
      <c r="X154" s="43" t="str">
        <f>IF(COUNTIF($D$2:D154,D154)&gt;1,"Repeat","First")</f>
        <v>Repeat</v>
      </c>
      <c r="Y154" s="43" t="str">
        <f>IF(AND(K154=Filter!$B$4,N154&gt;=Filter!$B$5),MAX(Y$1:Y153)+1,"")</f>
        <v/>
      </c>
      <c r="Z154" s="43" t="str">
        <f t="shared" si="29"/>
        <v>2024-11</v>
      </c>
    </row>
    <row r="155" spans="1:26" x14ac:dyDescent="0.2">
      <c r="A155" s="43" t="s">
        <v>396</v>
      </c>
      <c r="B155" s="44">
        <v>45627</v>
      </c>
      <c r="C155" s="43" t="s">
        <v>146</v>
      </c>
      <c r="D155" s="43" t="s">
        <v>147</v>
      </c>
      <c r="E155" s="43" t="s">
        <v>209</v>
      </c>
      <c r="F155" s="43" t="s">
        <v>80</v>
      </c>
      <c r="G155" s="43" t="s">
        <v>72</v>
      </c>
      <c r="H155" s="43">
        <v>3</v>
      </c>
      <c r="I155" s="45">
        <v>299.99</v>
      </c>
      <c r="J155" s="43" t="s">
        <v>63</v>
      </c>
      <c r="K155" s="43" t="s">
        <v>76</v>
      </c>
      <c r="L155" s="43" t="s">
        <v>144</v>
      </c>
      <c r="M155" s="44">
        <v>44659</v>
      </c>
      <c r="N155" s="45">
        <v>899.97</v>
      </c>
      <c r="O155" s="43" t="str">
        <f t="shared" si="20"/>
        <v>OK</v>
      </c>
      <c r="P155" s="44">
        <f t="shared" si="21"/>
        <v>45657</v>
      </c>
      <c r="Q155" s="43" t="str">
        <f t="shared" si="22"/>
        <v>Dec-24</v>
      </c>
      <c r="R155" s="43">
        <f t="shared" si="23"/>
        <v>2</v>
      </c>
      <c r="S155" s="43">
        <f t="shared" si="24"/>
        <v>31</v>
      </c>
      <c r="T155" s="43">
        <f t="shared" ca="1" si="25"/>
        <v>691</v>
      </c>
      <c r="U155" s="43" t="str">
        <f t="shared" si="26"/>
        <v>KS</v>
      </c>
      <c r="V155" s="43" t="str">
        <f t="shared" si="27"/>
        <v>DES</v>
      </c>
      <c r="W155" s="43" t="str">
        <f t="shared" si="28"/>
        <v>S-2412-045</v>
      </c>
      <c r="X155" s="43" t="str">
        <f>IF(COUNTIF($D$2:D155,D155)&gt;1,"Repeat","First")</f>
        <v>Repeat</v>
      </c>
      <c r="Y155" s="43" t="str">
        <f>IF(AND(K155=Filter!$B$4,N155&gt;=Filter!$B$5),MAX(Y$1:Y154)+1,"")</f>
        <v/>
      </c>
      <c r="Z155" s="43" t="str">
        <f t="shared" si="29"/>
        <v>2024-12</v>
      </c>
    </row>
    <row r="156" spans="1:26" x14ac:dyDescent="0.2">
      <c r="A156" s="43" t="s">
        <v>397</v>
      </c>
      <c r="B156" s="44">
        <v>45627</v>
      </c>
      <c r="C156" s="43" t="s">
        <v>163</v>
      </c>
      <c r="D156" s="43" t="s">
        <v>164</v>
      </c>
      <c r="E156" s="43" t="s">
        <v>139</v>
      </c>
      <c r="F156" s="43" t="s">
        <v>89</v>
      </c>
      <c r="G156" s="43" t="s">
        <v>67</v>
      </c>
      <c r="H156" s="43">
        <v>5</v>
      </c>
      <c r="I156" s="45">
        <v>249.99</v>
      </c>
      <c r="J156" s="43" t="s">
        <v>63</v>
      </c>
      <c r="K156" s="43" t="s">
        <v>61</v>
      </c>
      <c r="L156" s="43" t="s">
        <v>144</v>
      </c>
      <c r="M156" s="44">
        <v>44485</v>
      </c>
      <c r="N156" s="45">
        <v>1249.95</v>
      </c>
      <c r="O156" s="43" t="str">
        <f t="shared" si="20"/>
        <v>OK</v>
      </c>
      <c r="P156" s="44">
        <f t="shared" si="21"/>
        <v>45657</v>
      </c>
      <c r="Q156" s="43" t="str">
        <f t="shared" si="22"/>
        <v>Dec-24</v>
      </c>
      <c r="R156" s="43">
        <f t="shared" si="23"/>
        <v>3</v>
      </c>
      <c r="S156" s="43">
        <f t="shared" si="24"/>
        <v>37</v>
      </c>
      <c r="T156" s="43">
        <f t="shared" ca="1" si="25"/>
        <v>691</v>
      </c>
      <c r="U156" s="43" t="str">
        <f t="shared" si="26"/>
        <v>CA</v>
      </c>
      <c r="V156" s="43" t="str">
        <f t="shared" si="27"/>
        <v>MON</v>
      </c>
      <c r="W156" s="43" t="str">
        <f t="shared" si="28"/>
        <v>C-2412-094</v>
      </c>
      <c r="X156" s="43" t="str">
        <f>IF(COUNTIF($D$2:D156,D156)&gt;1,"Repeat","First")</f>
        <v>Repeat</v>
      </c>
      <c r="Y156" s="43" t="str">
        <f>IF(AND(K156=Filter!$B$4,N156&gt;=Filter!$B$5),MAX(Y$1:Y155)+1,"")</f>
        <v/>
      </c>
      <c r="Z156" s="43" t="str">
        <f t="shared" si="29"/>
        <v>2024-12</v>
      </c>
    </row>
    <row r="157" spans="1:26" x14ac:dyDescent="0.2">
      <c r="A157" s="43" t="s">
        <v>398</v>
      </c>
      <c r="B157" s="44">
        <v>45627</v>
      </c>
      <c r="C157" s="43" t="s">
        <v>142</v>
      </c>
      <c r="D157" s="43" t="s">
        <v>143</v>
      </c>
      <c r="E157" s="43" t="s">
        <v>161</v>
      </c>
      <c r="F157" s="43" t="s">
        <v>83</v>
      </c>
      <c r="G157" s="43" t="s">
        <v>67</v>
      </c>
      <c r="H157" s="43">
        <v>2</v>
      </c>
      <c r="I157" s="45">
        <v>149.99</v>
      </c>
      <c r="J157" s="43" t="s">
        <v>63</v>
      </c>
      <c r="K157" s="43" t="s">
        <v>76</v>
      </c>
      <c r="L157" s="43" t="s">
        <v>144</v>
      </c>
      <c r="M157" s="44">
        <v>44475</v>
      </c>
      <c r="N157" s="45">
        <v>299.98</v>
      </c>
      <c r="O157" s="43" t="str">
        <f t="shared" si="20"/>
        <v>OK</v>
      </c>
      <c r="P157" s="44">
        <f t="shared" si="21"/>
        <v>45657</v>
      </c>
      <c r="Q157" s="43" t="str">
        <f t="shared" si="22"/>
        <v>Dec-24</v>
      </c>
      <c r="R157" s="43">
        <f t="shared" si="23"/>
        <v>3</v>
      </c>
      <c r="S157" s="43">
        <f t="shared" si="24"/>
        <v>37</v>
      </c>
      <c r="T157" s="43">
        <f t="shared" ca="1" si="25"/>
        <v>691</v>
      </c>
      <c r="U157" s="43" t="str">
        <f t="shared" si="26"/>
        <v>JJ</v>
      </c>
      <c r="V157" s="43" t="str">
        <f t="shared" si="27"/>
        <v>HEA</v>
      </c>
      <c r="W157" s="43" t="str">
        <f t="shared" si="28"/>
        <v>S-2412-133</v>
      </c>
      <c r="X157" s="43" t="str">
        <f>IF(COUNTIF($D$2:D157,D157)&gt;1,"Repeat","First")</f>
        <v>Repeat</v>
      </c>
      <c r="Y157" s="43" t="str">
        <f>IF(AND(K157=Filter!$B$4,N157&gt;=Filter!$B$5),MAX(Y$1:Y156)+1,"")</f>
        <v/>
      </c>
      <c r="Z157" s="43" t="str">
        <f t="shared" si="29"/>
        <v>2024-12</v>
      </c>
    </row>
    <row r="158" spans="1:26" x14ac:dyDescent="0.2">
      <c r="A158" s="43" t="s">
        <v>399</v>
      </c>
      <c r="B158" s="44">
        <v>45627</v>
      </c>
      <c r="C158" s="43" t="s">
        <v>190</v>
      </c>
      <c r="D158" s="43" t="s">
        <v>191</v>
      </c>
      <c r="E158" s="43" t="s">
        <v>185</v>
      </c>
      <c r="F158" s="43" t="s">
        <v>93</v>
      </c>
      <c r="G158" s="43" t="s">
        <v>67</v>
      </c>
      <c r="H158" s="43">
        <v>5</v>
      </c>
      <c r="I158" s="45">
        <v>699.99</v>
      </c>
      <c r="J158" s="43" t="s">
        <v>73</v>
      </c>
      <c r="K158" s="43" t="s">
        <v>81</v>
      </c>
      <c r="L158" s="43" t="s">
        <v>149</v>
      </c>
      <c r="M158" s="44">
        <v>44944</v>
      </c>
      <c r="N158" s="45">
        <v>3499.95</v>
      </c>
      <c r="O158" s="43" t="str">
        <f t="shared" si="20"/>
        <v>OK</v>
      </c>
      <c r="P158" s="44">
        <f t="shared" si="21"/>
        <v>45657</v>
      </c>
      <c r="Q158" s="43" t="str">
        <f t="shared" si="22"/>
        <v>Dec-24</v>
      </c>
      <c r="R158" s="43">
        <f t="shared" si="23"/>
        <v>1</v>
      </c>
      <c r="S158" s="43">
        <f t="shared" si="24"/>
        <v>22</v>
      </c>
      <c r="T158" s="43">
        <f t="shared" ca="1" si="25"/>
        <v>691</v>
      </c>
      <c r="U158" s="43" t="str">
        <f t="shared" si="26"/>
        <v>MC</v>
      </c>
      <c r="V158" s="43" t="str">
        <f t="shared" si="27"/>
        <v>SMA</v>
      </c>
      <c r="W158" s="43" t="str">
        <f t="shared" si="28"/>
        <v>W-2412-201</v>
      </c>
      <c r="X158" s="43" t="str">
        <f>IF(COUNTIF($D$2:D158,D158)&gt;1,"Repeat","First")</f>
        <v>Repeat</v>
      </c>
      <c r="Y158" s="43">
        <f>IF(AND(K158=Filter!$B$4,N158&gt;=Filter!$B$5),MAX(Y$1:Y157)+1,"")</f>
        <v>10</v>
      </c>
      <c r="Z158" s="43" t="str">
        <f t="shared" si="29"/>
        <v>2024-12</v>
      </c>
    </row>
    <row r="159" spans="1:26" x14ac:dyDescent="0.2">
      <c r="A159" s="43" t="s">
        <v>400</v>
      </c>
      <c r="B159" s="44">
        <v>45629</v>
      </c>
      <c r="C159" s="43" t="s">
        <v>352</v>
      </c>
      <c r="D159" s="43" t="s">
        <v>353</v>
      </c>
      <c r="E159" s="43" t="s">
        <v>139</v>
      </c>
      <c r="F159" s="43" t="s">
        <v>89</v>
      </c>
      <c r="G159" s="43" t="s">
        <v>67</v>
      </c>
      <c r="H159" s="43">
        <v>4</v>
      </c>
      <c r="I159" s="45">
        <v>249.99</v>
      </c>
      <c r="J159" s="43" t="s">
        <v>78</v>
      </c>
      <c r="K159" s="43" t="s">
        <v>66</v>
      </c>
      <c r="L159" s="43" t="s">
        <v>144</v>
      </c>
      <c r="M159" s="44">
        <v>45098</v>
      </c>
      <c r="N159" s="45">
        <v>999.96</v>
      </c>
      <c r="O159" s="43" t="str">
        <f t="shared" si="20"/>
        <v>OK</v>
      </c>
      <c r="P159" s="44">
        <f t="shared" si="21"/>
        <v>45657</v>
      </c>
      <c r="Q159" s="43" t="str">
        <f t="shared" si="22"/>
        <v>Dec-24</v>
      </c>
      <c r="R159" s="43">
        <f t="shared" si="23"/>
        <v>1</v>
      </c>
      <c r="S159" s="43">
        <f t="shared" si="24"/>
        <v>17</v>
      </c>
      <c r="T159" s="43">
        <f t="shared" ca="1" si="25"/>
        <v>689</v>
      </c>
      <c r="U159" s="43" t="str">
        <f t="shared" si="26"/>
        <v>WW</v>
      </c>
      <c r="V159" s="43" t="str">
        <f t="shared" si="27"/>
        <v>MON</v>
      </c>
      <c r="W159" s="43" t="str">
        <f t="shared" si="28"/>
        <v>E-2412-137</v>
      </c>
      <c r="X159" s="43" t="str">
        <f>IF(COUNTIF($D$2:D159,D159)&gt;1,"Repeat","First")</f>
        <v>Repeat</v>
      </c>
      <c r="Y159" s="43" t="str">
        <f>IF(AND(K159=Filter!$B$4,N159&gt;=Filter!$B$5),MAX(Y$1:Y158)+1,"")</f>
        <v/>
      </c>
      <c r="Z159" s="43" t="str">
        <f t="shared" si="29"/>
        <v>2024-12</v>
      </c>
    </row>
    <row r="160" spans="1:26" x14ac:dyDescent="0.2">
      <c r="A160" s="43" t="s">
        <v>401</v>
      </c>
      <c r="B160" s="44">
        <v>45630</v>
      </c>
      <c r="C160" s="43" t="s">
        <v>158</v>
      </c>
      <c r="D160" s="43" t="s">
        <v>159</v>
      </c>
      <c r="E160" s="43" t="s">
        <v>185</v>
      </c>
      <c r="F160" s="43" t="s">
        <v>93</v>
      </c>
      <c r="G160" s="43" t="s">
        <v>67</v>
      </c>
      <c r="H160" s="43">
        <v>4</v>
      </c>
      <c r="I160" s="45">
        <v>699.99</v>
      </c>
      <c r="J160" s="43" t="s">
        <v>68</v>
      </c>
      <c r="K160" s="43" t="s">
        <v>71</v>
      </c>
      <c r="L160" s="43" t="s">
        <v>144</v>
      </c>
      <c r="M160" s="44">
        <v>44703</v>
      </c>
      <c r="N160" s="45">
        <v>2799.96</v>
      </c>
      <c r="O160" s="43" t="str">
        <f t="shared" si="20"/>
        <v>OK</v>
      </c>
      <c r="P160" s="44">
        <f t="shared" si="21"/>
        <v>45657</v>
      </c>
      <c r="Q160" s="43" t="str">
        <f t="shared" si="22"/>
        <v>Dec-24</v>
      </c>
      <c r="R160" s="43">
        <f t="shared" si="23"/>
        <v>2</v>
      </c>
      <c r="S160" s="43">
        <f t="shared" si="24"/>
        <v>30</v>
      </c>
      <c r="T160" s="43">
        <f t="shared" ca="1" si="25"/>
        <v>688</v>
      </c>
      <c r="U160" s="43" t="str">
        <f t="shared" si="26"/>
        <v>DN</v>
      </c>
      <c r="V160" s="43" t="str">
        <f t="shared" si="27"/>
        <v>SMA</v>
      </c>
      <c r="W160" s="43" t="str">
        <f t="shared" si="28"/>
        <v>N-2412-066</v>
      </c>
      <c r="X160" s="43" t="str">
        <f>IF(COUNTIF($D$2:D160,D160)&gt;1,"Repeat","First")</f>
        <v>Repeat</v>
      </c>
      <c r="Y160" s="43" t="str">
        <f>IF(AND(K160=Filter!$B$4,N160&gt;=Filter!$B$5),MAX(Y$1:Y159)+1,"")</f>
        <v/>
      </c>
      <c r="Z160" s="43" t="str">
        <f t="shared" si="29"/>
        <v>2024-12</v>
      </c>
    </row>
    <row r="161" spans="1:26" x14ac:dyDescent="0.2">
      <c r="A161" s="43" t="s">
        <v>402</v>
      </c>
      <c r="B161" s="44">
        <v>45635</v>
      </c>
      <c r="C161" s="43" t="s">
        <v>211</v>
      </c>
      <c r="D161" s="43" t="s">
        <v>212</v>
      </c>
      <c r="E161" s="43" t="s">
        <v>139</v>
      </c>
      <c r="F161" s="43" t="s">
        <v>89</v>
      </c>
      <c r="G161" s="43" t="s">
        <v>67</v>
      </c>
      <c r="H161" s="43">
        <v>2</v>
      </c>
      <c r="I161" s="45">
        <v>249.99</v>
      </c>
      <c r="J161" s="43" t="s">
        <v>68</v>
      </c>
      <c r="K161" s="43" t="s">
        <v>61</v>
      </c>
      <c r="L161" s="43" t="s">
        <v>144</v>
      </c>
      <c r="M161" s="44">
        <v>44396</v>
      </c>
      <c r="N161" s="45">
        <v>499.98</v>
      </c>
      <c r="O161" s="43" t="str">
        <f t="shared" si="20"/>
        <v>OK</v>
      </c>
      <c r="P161" s="44">
        <f t="shared" si="21"/>
        <v>45657</v>
      </c>
      <c r="Q161" s="43" t="str">
        <f t="shared" si="22"/>
        <v>Dec-24</v>
      </c>
      <c r="R161" s="43">
        <f t="shared" si="23"/>
        <v>3</v>
      </c>
      <c r="S161" s="43">
        <f t="shared" si="24"/>
        <v>40</v>
      </c>
      <c r="T161" s="43">
        <f t="shared" ca="1" si="25"/>
        <v>683</v>
      </c>
      <c r="U161" s="43" t="str">
        <f t="shared" si="26"/>
        <v>NC</v>
      </c>
      <c r="V161" s="43" t="str">
        <f t="shared" si="27"/>
        <v>MON</v>
      </c>
      <c r="W161" s="43" t="str">
        <f t="shared" si="28"/>
        <v>C-2412-180</v>
      </c>
      <c r="X161" s="43" t="str">
        <f>IF(COUNTIF($D$2:D161,D161)&gt;1,"Repeat","First")</f>
        <v>Repeat</v>
      </c>
      <c r="Y161" s="43" t="str">
        <f>IF(AND(K161=Filter!$B$4,N161&gt;=Filter!$B$5),MAX(Y$1:Y160)+1,"")</f>
        <v/>
      </c>
      <c r="Z161" s="43" t="str">
        <f t="shared" si="29"/>
        <v>2024-12</v>
      </c>
    </row>
    <row r="162" spans="1:26" x14ac:dyDescent="0.2">
      <c r="A162" s="43" t="s">
        <v>403</v>
      </c>
      <c r="B162" s="44">
        <v>45635</v>
      </c>
      <c r="C162" s="43" t="s">
        <v>404</v>
      </c>
      <c r="D162" s="43" t="s">
        <v>405</v>
      </c>
      <c r="E162" s="43" t="s">
        <v>148</v>
      </c>
      <c r="F162" s="43" t="s">
        <v>65</v>
      </c>
      <c r="G162" s="43" t="s">
        <v>62</v>
      </c>
      <c r="H162" s="43">
        <v>3</v>
      </c>
      <c r="I162" s="45">
        <v>59.99</v>
      </c>
      <c r="J162" s="43" t="s">
        <v>63</v>
      </c>
      <c r="K162" s="43" t="s">
        <v>61</v>
      </c>
      <c r="L162" s="43" t="s">
        <v>144</v>
      </c>
      <c r="M162" s="44">
        <v>45052</v>
      </c>
      <c r="N162" s="45">
        <v>179.97</v>
      </c>
      <c r="O162" s="43" t="str">
        <f t="shared" si="20"/>
        <v>OK</v>
      </c>
      <c r="P162" s="44">
        <f t="shared" si="21"/>
        <v>45657</v>
      </c>
      <c r="Q162" s="43" t="str">
        <f t="shared" si="22"/>
        <v>Dec-24</v>
      </c>
      <c r="R162" s="43">
        <f t="shared" si="23"/>
        <v>1</v>
      </c>
      <c r="S162" s="43">
        <f t="shared" si="24"/>
        <v>19</v>
      </c>
      <c r="T162" s="43">
        <f t="shared" ca="1" si="25"/>
        <v>683</v>
      </c>
      <c r="U162" s="43" t="str">
        <f t="shared" si="26"/>
        <v>JJ</v>
      </c>
      <c r="V162" s="43" t="str">
        <f t="shared" si="27"/>
        <v>BLE</v>
      </c>
      <c r="W162" s="43" t="str">
        <f t="shared" si="28"/>
        <v>C-2412-082</v>
      </c>
      <c r="X162" s="43" t="str">
        <f>IF(COUNTIF($D$2:D162,D162)&gt;1,"Repeat","First")</f>
        <v>First</v>
      </c>
      <c r="Y162" s="43" t="str">
        <f>IF(AND(K162=Filter!$B$4,N162&gt;=Filter!$B$5),MAX(Y$1:Y161)+1,"")</f>
        <v/>
      </c>
      <c r="Z162" s="43" t="str">
        <f t="shared" si="29"/>
        <v>2024-12</v>
      </c>
    </row>
    <row r="163" spans="1:26" x14ac:dyDescent="0.2">
      <c r="A163" s="43" t="s">
        <v>406</v>
      </c>
      <c r="B163" s="44">
        <v>45635</v>
      </c>
      <c r="C163" s="43" t="s">
        <v>241</v>
      </c>
      <c r="D163" s="43" t="s">
        <v>242</v>
      </c>
      <c r="E163" s="43" t="s">
        <v>217</v>
      </c>
      <c r="F163" s="43" t="s">
        <v>75</v>
      </c>
      <c r="G163" s="43" t="s">
        <v>62</v>
      </c>
      <c r="H163" s="43">
        <v>4</v>
      </c>
      <c r="I163" s="45">
        <v>79.989999999999995</v>
      </c>
      <c r="J163" s="43" t="s">
        <v>73</v>
      </c>
      <c r="K163" s="43" t="s">
        <v>66</v>
      </c>
      <c r="L163" s="43" t="s">
        <v>149</v>
      </c>
      <c r="M163" s="44">
        <v>44921</v>
      </c>
      <c r="N163" s="45">
        <v>319.95999999999998</v>
      </c>
      <c r="O163" s="43" t="str">
        <f t="shared" si="20"/>
        <v>OK</v>
      </c>
      <c r="P163" s="44">
        <f t="shared" si="21"/>
        <v>45657</v>
      </c>
      <c r="Q163" s="43" t="str">
        <f t="shared" si="22"/>
        <v>Dec-24</v>
      </c>
      <c r="R163" s="43">
        <f t="shared" si="23"/>
        <v>1</v>
      </c>
      <c r="S163" s="43">
        <f t="shared" si="24"/>
        <v>23</v>
      </c>
      <c r="T163" s="43">
        <f t="shared" ca="1" si="25"/>
        <v>683</v>
      </c>
      <c r="U163" s="43" t="str">
        <f t="shared" si="26"/>
        <v>JT</v>
      </c>
      <c r="V163" s="43" t="str">
        <f t="shared" si="27"/>
        <v>COF</v>
      </c>
      <c r="W163" s="43" t="str">
        <f t="shared" si="28"/>
        <v>E-2412-036</v>
      </c>
      <c r="X163" s="43" t="str">
        <f>IF(COUNTIF($D$2:D163,D163)&gt;1,"Repeat","First")</f>
        <v>Repeat</v>
      </c>
      <c r="Y163" s="43" t="str">
        <f>IF(AND(K163=Filter!$B$4,N163&gt;=Filter!$B$5),MAX(Y$1:Y162)+1,"")</f>
        <v/>
      </c>
      <c r="Z163" s="43" t="str">
        <f t="shared" si="29"/>
        <v>2024-12</v>
      </c>
    </row>
    <row r="164" spans="1:26" x14ac:dyDescent="0.2">
      <c r="A164" s="43" t="s">
        <v>407</v>
      </c>
      <c r="B164" s="44">
        <v>45636</v>
      </c>
      <c r="C164" s="43" t="s">
        <v>221</v>
      </c>
      <c r="D164" s="43" t="s">
        <v>222</v>
      </c>
      <c r="E164" s="43" t="s">
        <v>217</v>
      </c>
      <c r="F164" s="43" t="s">
        <v>75</v>
      </c>
      <c r="G164" s="43" t="s">
        <v>62</v>
      </c>
      <c r="H164" s="43">
        <v>3</v>
      </c>
      <c r="I164" s="45">
        <v>79.989999999999995</v>
      </c>
      <c r="J164" s="43" t="s">
        <v>73</v>
      </c>
      <c r="K164" s="43" t="s">
        <v>66</v>
      </c>
      <c r="L164" s="43" t="s">
        <v>149</v>
      </c>
      <c r="M164" s="44">
        <v>44779</v>
      </c>
      <c r="N164" s="45">
        <v>239.97</v>
      </c>
      <c r="O164" s="43" t="str">
        <f t="shared" si="20"/>
        <v>OK</v>
      </c>
      <c r="P164" s="44">
        <f t="shared" si="21"/>
        <v>45657</v>
      </c>
      <c r="Q164" s="43" t="str">
        <f t="shared" si="22"/>
        <v>Dec-24</v>
      </c>
      <c r="R164" s="43">
        <f t="shared" si="23"/>
        <v>2</v>
      </c>
      <c r="S164" s="43">
        <f t="shared" si="24"/>
        <v>28</v>
      </c>
      <c r="T164" s="43">
        <f t="shared" ca="1" si="25"/>
        <v>682</v>
      </c>
      <c r="U164" s="43" t="str">
        <f t="shared" si="26"/>
        <v>HR</v>
      </c>
      <c r="V164" s="43" t="str">
        <f t="shared" si="27"/>
        <v>COF</v>
      </c>
      <c r="W164" s="43" t="str">
        <f t="shared" si="28"/>
        <v>E-2412-198</v>
      </c>
      <c r="X164" s="43" t="str">
        <f>IF(COUNTIF($D$2:D164,D164)&gt;1,"Repeat","First")</f>
        <v>Repeat</v>
      </c>
      <c r="Y164" s="43" t="str">
        <f>IF(AND(K164=Filter!$B$4,N164&gt;=Filter!$B$5),MAX(Y$1:Y163)+1,"")</f>
        <v/>
      </c>
      <c r="Z164" s="43" t="str">
        <f t="shared" si="29"/>
        <v>2024-12</v>
      </c>
    </row>
    <row r="165" spans="1:26" x14ac:dyDescent="0.2">
      <c r="A165" s="43" t="s">
        <v>408</v>
      </c>
      <c r="B165" s="44">
        <v>45638</v>
      </c>
      <c r="C165" s="43" t="s">
        <v>177</v>
      </c>
      <c r="D165" s="43" t="s">
        <v>178</v>
      </c>
      <c r="E165" s="43" t="s">
        <v>168</v>
      </c>
      <c r="F165" s="43" t="s">
        <v>87</v>
      </c>
      <c r="G165" s="43" t="s">
        <v>67</v>
      </c>
      <c r="H165" s="43">
        <v>2</v>
      </c>
      <c r="I165" s="45">
        <v>899.99</v>
      </c>
      <c r="J165" s="43" t="s">
        <v>63</v>
      </c>
      <c r="K165" s="43" t="s">
        <v>71</v>
      </c>
      <c r="L165" s="43" t="s">
        <v>140</v>
      </c>
      <c r="M165" s="44">
        <v>44406</v>
      </c>
      <c r="N165" s="45">
        <v>1799.98</v>
      </c>
      <c r="O165" s="43" t="str">
        <f t="shared" si="20"/>
        <v>OK</v>
      </c>
      <c r="P165" s="44">
        <f t="shared" si="21"/>
        <v>45657</v>
      </c>
      <c r="Q165" s="43" t="str">
        <f t="shared" si="22"/>
        <v>Dec-24</v>
      </c>
      <c r="R165" s="43">
        <f t="shared" si="23"/>
        <v>3</v>
      </c>
      <c r="S165" s="43">
        <f t="shared" si="24"/>
        <v>40</v>
      </c>
      <c r="T165" s="43">
        <f t="shared" ca="1" si="25"/>
        <v>680</v>
      </c>
      <c r="U165" s="43" t="str">
        <f t="shared" si="26"/>
        <v>PR</v>
      </c>
      <c r="V165" s="43" t="str">
        <f t="shared" si="27"/>
        <v>LAP</v>
      </c>
      <c r="W165" s="43" t="str">
        <f t="shared" si="28"/>
        <v>N-2412-032</v>
      </c>
      <c r="X165" s="43" t="str">
        <f>IF(COUNTIF($D$2:D165,D165)&gt;1,"Repeat","First")</f>
        <v>Repeat</v>
      </c>
      <c r="Y165" s="43" t="str">
        <f>IF(AND(K165=Filter!$B$4,N165&gt;=Filter!$B$5),MAX(Y$1:Y164)+1,"")</f>
        <v/>
      </c>
      <c r="Z165" s="43" t="str">
        <f t="shared" si="29"/>
        <v>2024-12</v>
      </c>
    </row>
    <row r="166" spans="1:26" x14ac:dyDescent="0.2">
      <c r="A166" s="43" t="s">
        <v>409</v>
      </c>
      <c r="B166" s="44">
        <v>45641</v>
      </c>
      <c r="C166" s="43" t="s">
        <v>282</v>
      </c>
      <c r="D166" s="43" t="s">
        <v>283</v>
      </c>
      <c r="E166" s="43" t="s">
        <v>156</v>
      </c>
      <c r="F166" s="43" t="s">
        <v>70</v>
      </c>
      <c r="G166" s="43" t="s">
        <v>72</v>
      </c>
      <c r="H166" s="43">
        <v>1</v>
      </c>
      <c r="I166" s="45">
        <v>149.99</v>
      </c>
      <c r="J166" s="43" t="s">
        <v>73</v>
      </c>
      <c r="K166" s="43" t="s">
        <v>66</v>
      </c>
      <c r="L166" s="43" t="s">
        <v>149</v>
      </c>
      <c r="M166" s="44">
        <v>45200</v>
      </c>
      <c r="N166" s="45">
        <v>149.99</v>
      </c>
      <c r="O166" s="43" t="str">
        <f t="shared" si="20"/>
        <v>OK</v>
      </c>
      <c r="P166" s="44">
        <f t="shared" si="21"/>
        <v>45657</v>
      </c>
      <c r="Q166" s="43" t="str">
        <f t="shared" si="22"/>
        <v>Dec-24</v>
      </c>
      <c r="R166" s="43">
        <f t="shared" si="23"/>
        <v>1</v>
      </c>
      <c r="S166" s="43">
        <f t="shared" si="24"/>
        <v>14</v>
      </c>
      <c r="T166" s="43">
        <f t="shared" ca="1" si="25"/>
        <v>677</v>
      </c>
      <c r="U166" s="43" t="str">
        <f t="shared" si="26"/>
        <v>DM</v>
      </c>
      <c r="V166" s="43" t="str">
        <f t="shared" si="27"/>
        <v>BOO</v>
      </c>
      <c r="W166" s="43" t="str">
        <f t="shared" si="28"/>
        <v>E-2412-081</v>
      </c>
      <c r="X166" s="43" t="str">
        <f>IF(COUNTIF($D$2:D166,D166)&gt;1,"Repeat","First")</f>
        <v>Repeat</v>
      </c>
      <c r="Y166" s="43" t="str">
        <f>IF(AND(K166=Filter!$B$4,N166&gt;=Filter!$B$5),MAX(Y$1:Y165)+1,"")</f>
        <v/>
      </c>
      <c r="Z166" s="43" t="str">
        <f t="shared" si="29"/>
        <v>2024-12</v>
      </c>
    </row>
    <row r="167" spans="1:26" x14ac:dyDescent="0.2">
      <c r="A167" s="43" t="s">
        <v>410</v>
      </c>
      <c r="B167" s="44">
        <v>45641</v>
      </c>
      <c r="C167" s="43" t="s">
        <v>238</v>
      </c>
      <c r="D167" s="43" t="s">
        <v>239</v>
      </c>
      <c r="E167" s="43" t="s">
        <v>209</v>
      </c>
      <c r="F167" s="43" t="s">
        <v>80</v>
      </c>
      <c r="G167" s="43" t="s">
        <v>72</v>
      </c>
      <c r="H167" s="43">
        <v>2</v>
      </c>
      <c r="I167" s="45">
        <v>299.99</v>
      </c>
      <c r="J167" s="43" t="s">
        <v>63</v>
      </c>
      <c r="K167" s="43" t="s">
        <v>66</v>
      </c>
      <c r="L167" s="43" t="s">
        <v>144</v>
      </c>
      <c r="M167" s="44">
        <v>44724</v>
      </c>
      <c r="N167" s="45">
        <v>599.98</v>
      </c>
      <c r="O167" s="43" t="str">
        <f t="shared" si="20"/>
        <v>OK</v>
      </c>
      <c r="P167" s="44">
        <f t="shared" si="21"/>
        <v>45657</v>
      </c>
      <c r="Q167" s="43" t="str">
        <f t="shared" si="22"/>
        <v>Dec-24</v>
      </c>
      <c r="R167" s="43">
        <f t="shared" si="23"/>
        <v>2</v>
      </c>
      <c r="S167" s="43">
        <f t="shared" si="24"/>
        <v>30</v>
      </c>
      <c r="T167" s="43">
        <f t="shared" ca="1" si="25"/>
        <v>677</v>
      </c>
      <c r="U167" s="43" t="str">
        <f t="shared" si="26"/>
        <v>ST</v>
      </c>
      <c r="V167" s="43" t="str">
        <f t="shared" si="27"/>
        <v>DES</v>
      </c>
      <c r="W167" s="43" t="str">
        <f t="shared" si="28"/>
        <v>E-2412-224</v>
      </c>
      <c r="X167" s="43" t="str">
        <f>IF(COUNTIF($D$2:D167,D167)&gt;1,"Repeat","First")</f>
        <v>Repeat</v>
      </c>
      <c r="Y167" s="43" t="str">
        <f>IF(AND(K167=Filter!$B$4,N167&gt;=Filter!$B$5),MAX(Y$1:Y166)+1,"")</f>
        <v/>
      </c>
      <c r="Z167" s="43" t="str">
        <f t="shared" si="29"/>
        <v>2024-12</v>
      </c>
    </row>
    <row r="168" spans="1:26" x14ac:dyDescent="0.2">
      <c r="A168" s="43" t="s">
        <v>411</v>
      </c>
      <c r="B168" s="44">
        <v>45644</v>
      </c>
      <c r="C168" s="43" t="s">
        <v>232</v>
      </c>
      <c r="D168" s="43" t="s">
        <v>233</v>
      </c>
      <c r="E168" s="43" t="s">
        <v>148</v>
      </c>
      <c r="F168" s="43" t="s">
        <v>65</v>
      </c>
      <c r="G168" s="43" t="s">
        <v>62</v>
      </c>
      <c r="H168" s="43">
        <v>2</v>
      </c>
      <c r="I168" s="45">
        <v>59.99</v>
      </c>
      <c r="J168" s="43" t="s">
        <v>63</v>
      </c>
      <c r="K168" s="43" t="s">
        <v>81</v>
      </c>
      <c r="L168" s="43" t="s">
        <v>140</v>
      </c>
      <c r="M168" s="44">
        <v>45191</v>
      </c>
      <c r="N168" s="45">
        <v>119.98</v>
      </c>
      <c r="O168" s="43" t="str">
        <f t="shared" si="20"/>
        <v>OK</v>
      </c>
      <c r="P168" s="44">
        <f t="shared" si="21"/>
        <v>45657</v>
      </c>
      <c r="Q168" s="43" t="str">
        <f t="shared" si="22"/>
        <v>Dec-24</v>
      </c>
      <c r="R168" s="43">
        <f t="shared" si="23"/>
        <v>1</v>
      </c>
      <c r="S168" s="43">
        <f t="shared" si="24"/>
        <v>14</v>
      </c>
      <c r="T168" s="43">
        <f t="shared" ca="1" si="25"/>
        <v>674</v>
      </c>
      <c r="U168" s="43" t="str">
        <f t="shared" si="26"/>
        <v>EW</v>
      </c>
      <c r="V168" s="43" t="str">
        <f t="shared" si="27"/>
        <v>BLE</v>
      </c>
      <c r="W168" s="43" t="str">
        <f t="shared" si="28"/>
        <v>W-2412-028</v>
      </c>
      <c r="X168" s="43" t="str">
        <f>IF(COUNTIF($D$2:D168,D168)&gt;1,"Repeat","First")</f>
        <v>Repeat</v>
      </c>
      <c r="Y168" s="43" t="str">
        <f>IF(AND(K168=Filter!$B$4,N168&gt;=Filter!$B$5),MAX(Y$1:Y167)+1,"")</f>
        <v/>
      </c>
      <c r="Z168" s="43" t="str">
        <f t="shared" si="29"/>
        <v>2024-12</v>
      </c>
    </row>
    <row r="169" spans="1:26" x14ac:dyDescent="0.2">
      <c r="A169" s="43" t="s">
        <v>412</v>
      </c>
      <c r="B169" s="44">
        <v>45645</v>
      </c>
      <c r="C169" s="43" t="s">
        <v>282</v>
      </c>
      <c r="D169" s="43" t="s">
        <v>283</v>
      </c>
      <c r="E169" s="43" t="s">
        <v>219</v>
      </c>
      <c r="F169" s="43" t="s">
        <v>85</v>
      </c>
      <c r="G169" s="43" t="s">
        <v>67</v>
      </c>
      <c r="H169" s="43">
        <v>1</v>
      </c>
      <c r="I169" s="45">
        <v>89.99</v>
      </c>
      <c r="J169" s="43" t="s">
        <v>73</v>
      </c>
      <c r="K169" s="43" t="s">
        <v>61</v>
      </c>
      <c r="L169" s="43" t="s">
        <v>149</v>
      </c>
      <c r="M169" s="44">
        <v>44760</v>
      </c>
      <c r="N169" s="45">
        <v>89.99</v>
      </c>
      <c r="O169" s="43" t="str">
        <f t="shared" si="20"/>
        <v>OK</v>
      </c>
      <c r="P169" s="44">
        <f t="shared" si="21"/>
        <v>45657</v>
      </c>
      <c r="Q169" s="43" t="str">
        <f t="shared" si="22"/>
        <v>Dec-24</v>
      </c>
      <c r="R169" s="43">
        <f t="shared" si="23"/>
        <v>2</v>
      </c>
      <c r="S169" s="43">
        <f t="shared" si="24"/>
        <v>29</v>
      </c>
      <c r="T169" s="43">
        <f t="shared" ca="1" si="25"/>
        <v>673</v>
      </c>
      <c r="U169" s="43" t="str">
        <f t="shared" si="26"/>
        <v>DM</v>
      </c>
      <c r="V169" s="43" t="str">
        <f t="shared" si="27"/>
        <v>KEY</v>
      </c>
      <c r="W169" s="43" t="str">
        <f t="shared" si="28"/>
        <v>C-2412-183</v>
      </c>
      <c r="X169" s="43" t="str">
        <f>IF(COUNTIF($D$2:D169,D169)&gt;1,"Repeat","First")</f>
        <v>Repeat</v>
      </c>
      <c r="Y169" s="43" t="str">
        <f>IF(AND(K169=Filter!$B$4,N169&gt;=Filter!$B$5),MAX(Y$1:Y168)+1,"")</f>
        <v/>
      </c>
      <c r="Z169" s="43" t="str">
        <f t="shared" si="29"/>
        <v>2024-12</v>
      </c>
    </row>
    <row r="170" spans="1:26" x14ac:dyDescent="0.2">
      <c r="A170" s="43" t="s">
        <v>413</v>
      </c>
      <c r="B170" s="44">
        <v>45645</v>
      </c>
      <c r="C170" s="43" t="s">
        <v>247</v>
      </c>
      <c r="D170" s="43" t="s">
        <v>248</v>
      </c>
      <c r="E170" s="43" t="s">
        <v>168</v>
      </c>
      <c r="F170" s="43" t="s">
        <v>87</v>
      </c>
      <c r="G170" s="43" t="s">
        <v>67</v>
      </c>
      <c r="H170" s="43">
        <v>5</v>
      </c>
      <c r="I170" s="45">
        <v>899.99</v>
      </c>
      <c r="J170" s="43" t="s">
        <v>73</v>
      </c>
      <c r="K170" s="43" t="s">
        <v>66</v>
      </c>
      <c r="L170" s="43" t="s">
        <v>149</v>
      </c>
      <c r="M170" s="44">
        <v>44625</v>
      </c>
      <c r="N170" s="45">
        <v>4499.95</v>
      </c>
      <c r="O170" s="43" t="str">
        <f t="shared" si="20"/>
        <v>OK</v>
      </c>
      <c r="P170" s="44">
        <f t="shared" si="21"/>
        <v>45657</v>
      </c>
      <c r="Q170" s="43" t="str">
        <f t="shared" si="22"/>
        <v>Dec-24</v>
      </c>
      <c r="R170" s="43">
        <f t="shared" si="23"/>
        <v>2</v>
      </c>
      <c r="S170" s="43">
        <f t="shared" si="24"/>
        <v>33</v>
      </c>
      <c r="T170" s="43">
        <f t="shared" ca="1" si="25"/>
        <v>673</v>
      </c>
      <c r="U170" s="43" t="str">
        <f t="shared" si="26"/>
        <v>DK</v>
      </c>
      <c r="V170" s="43" t="str">
        <f t="shared" si="27"/>
        <v>LAP</v>
      </c>
      <c r="W170" s="43" t="str">
        <f t="shared" si="28"/>
        <v>E-2412-163</v>
      </c>
      <c r="X170" s="43" t="str">
        <f>IF(COUNTIF($D$2:D170,D170)&gt;1,"Repeat","First")</f>
        <v>Repeat</v>
      </c>
      <c r="Y170" s="43" t="str">
        <f>IF(AND(K170=Filter!$B$4,N170&gt;=Filter!$B$5),MAX(Y$1:Y169)+1,"")</f>
        <v/>
      </c>
      <c r="Z170" s="43" t="str">
        <f t="shared" si="29"/>
        <v>2024-12</v>
      </c>
    </row>
    <row r="171" spans="1:26" x14ac:dyDescent="0.2">
      <c r="A171" s="43" t="s">
        <v>414</v>
      </c>
      <c r="B171" s="44">
        <v>45646</v>
      </c>
      <c r="C171" s="43" t="s">
        <v>154</v>
      </c>
      <c r="D171" s="43" t="s">
        <v>155</v>
      </c>
      <c r="E171" s="43" t="s">
        <v>156</v>
      </c>
      <c r="F171" s="43" t="s">
        <v>70</v>
      </c>
      <c r="G171" s="43" t="s">
        <v>72</v>
      </c>
      <c r="H171" s="43">
        <v>2</v>
      </c>
      <c r="I171" s="45">
        <v>149.99</v>
      </c>
      <c r="J171" s="43" t="s">
        <v>63</v>
      </c>
      <c r="K171" s="43" t="s">
        <v>76</v>
      </c>
      <c r="L171" s="43" t="s">
        <v>140</v>
      </c>
      <c r="M171" s="44">
        <v>45239</v>
      </c>
      <c r="N171" s="45">
        <v>299.98</v>
      </c>
      <c r="O171" s="43" t="str">
        <f t="shared" si="20"/>
        <v>OK</v>
      </c>
      <c r="P171" s="44">
        <f t="shared" si="21"/>
        <v>45657</v>
      </c>
      <c r="Q171" s="43" t="str">
        <f t="shared" si="22"/>
        <v>Dec-24</v>
      </c>
      <c r="R171" s="43">
        <f t="shared" si="23"/>
        <v>1</v>
      </c>
      <c r="S171" s="43">
        <f t="shared" si="24"/>
        <v>13</v>
      </c>
      <c r="T171" s="43">
        <f t="shared" ca="1" si="25"/>
        <v>672</v>
      </c>
      <c r="U171" s="43" t="str">
        <f t="shared" si="26"/>
        <v>MB</v>
      </c>
      <c r="V171" s="43" t="str">
        <f t="shared" si="27"/>
        <v>BOO</v>
      </c>
      <c r="W171" s="43" t="str">
        <f t="shared" si="28"/>
        <v>S-2412-046</v>
      </c>
      <c r="X171" s="43" t="str">
        <f>IF(COUNTIF($D$2:D171,D171)&gt;1,"Repeat","First")</f>
        <v>Repeat</v>
      </c>
      <c r="Y171" s="43" t="str">
        <f>IF(AND(K171=Filter!$B$4,N171&gt;=Filter!$B$5),MAX(Y$1:Y170)+1,"")</f>
        <v/>
      </c>
      <c r="Z171" s="43" t="str">
        <f t="shared" si="29"/>
        <v>2024-12</v>
      </c>
    </row>
    <row r="172" spans="1:26" x14ac:dyDescent="0.2">
      <c r="A172" s="43" t="s">
        <v>415</v>
      </c>
      <c r="B172" s="44">
        <v>45648</v>
      </c>
      <c r="C172" s="43" t="s">
        <v>215</v>
      </c>
      <c r="D172" s="43" t="s">
        <v>216</v>
      </c>
      <c r="E172" s="43" t="s">
        <v>161</v>
      </c>
      <c r="F172" s="43" t="s">
        <v>83</v>
      </c>
      <c r="G172" s="43" t="s">
        <v>67</v>
      </c>
      <c r="H172" s="43">
        <v>2</v>
      </c>
      <c r="I172" s="45">
        <v>149.99</v>
      </c>
      <c r="J172" s="43" t="s">
        <v>73</v>
      </c>
      <c r="K172" s="43" t="s">
        <v>81</v>
      </c>
      <c r="L172" s="43" t="s">
        <v>144</v>
      </c>
      <c r="M172" s="44">
        <v>45280</v>
      </c>
      <c r="N172" s="45">
        <v>299.98</v>
      </c>
      <c r="O172" s="43" t="str">
        <f t="shared" si="20"/>
        <v>OK</v>
      </c>
      <c r="P172" s="44">
        <f t="shared" si="21"/>
        <v>45657</v>
      </c>
      <c r="Q172" s="43" t="str">
        <f t="shared" si="22"/>
        <v>Dec-24</v>
      </c>
      <c r="R172" s="43">
        <f t="shared" si="23"/>
        <v>1</v>
      </c>
      <c r="S172" s="43">
        <f t="shared" si="24"/>
        <v>12</v>
      </c>
      <c r="T172" s="43">
        <f t="shared" ca="1" si="25"/>
        <v>670</v>
      </c>
      <c r="U172" s="43" t="str">
        <f t="shared" si="26"/>
        <v>LM</v>
      </c>
      <c r="V172" s="43" t="str">
        <f t="shared" si="27"/>
        <v>HEA</v>
      </c>
      <c r="W172" s="43" t="str">
        <f t="shared" si="28"/>
        <v>W-2412-164</v>
      </c>
      <c r="X172" s="43" t="str">
        <f>IF(COUNTIF($D$2:D172,D172)&gt;1,"Repeat","First")</f>
        <v>Repeat</v>
      </c>
      <c r="Y172" s="43" t="str">
        <f>IF(AND(K172=Filter!$B$4,N172&gt;=Filter!$B$5),MAX(Y$1:Y171)+1,"")</f>
        <v/>
      </c>
      <c r="Z172" s="43" t="str">
        <f t="shared" si="29"/>
        <v>2024-12</v>
      </c>
    </row>
    <row r="173" spans="1:26" x14ac:dyDescent="0.2">
      <c r="A173" s="43" t="s">
        <v>416</v>
      </c>
      <c r="B173" s="44">
        <v>45648</v>
      </c>
      <c r="C173" s="43" t="s">
        <v>282</v>
      </c>
      <c r="D173" s="43" t="s">
        <v>283</v>
      </c>
      <c r="E173" s="43" t="s">
        <v>156</v>
      </c>
      <c r="F173" s="43" t="s">
        <v>70</v>
      </c>
      <c r="G173" s="43" t="s">
        <v>72</v>
      </c>
      <c r="H173" s="43">
        <v>3</v>
      </c>
      <c r="I173" s="45">
        <v>149.99</v>
      </c>
      <c r="J173" s="43" t="s">
        <v>73</v>
      </c>
      <c r="K173" s="43" t="s">
        <v>71</v>
      </c>
      <c r="L173" s="43" t="s">
        <v>149</v>
      </c>
      <c r="M173" s="44">
        <v>44522</v>
      </c>
      <c r="N173" s="45">
        <v>449.97</v>
      </c>
      <c r="O173" s="43" t="str">
        <f t="shared" si="20"/>
        <v>OK</v>
      </c>
      <c r="P173" s="44">
        <f t="shared" si="21"/>
        <v>45657</v>
      </c>
      <c r="Q173" s="43" t="str">
        <f t="shared" si="22"/>
        <v>Dec-24</v>
      </c>
      <c r="R173" s="43">
        <f t="shared" si="23"/>
        <v>3</v>
      </c>
      <c r="S173" s="43">
        <f t="shared" si="24"/>
        <v>37</v>
      </c>
      <c r="T173" s="43">
        <f t="shared" ca="1" si="25"/>
        <v>670</v>
      </c>
      <c r="U173" s="43" t="str">
        <f t="shared" si="26"/>
        <v>DM</v>
      </c>
      <c r="V173" s="43" t="str">
        <f t="shared" si="27"/>
        <v>BOO</v>
      </c>
      <c r="W173" s="43" t="str">
        <f t="shared" si="28"/>
        <v>N-2412-008</v>
      </c>
      <c r="X173" s="43" t="str">
        <f>IF(COUNTIF($D$2:D173,D173)&gt;1,"Repeat","First")</f>
        <v>Repeat</v>
      </c>
      <c r="Y173" s="43" t="str">
        <f>IF(AND(K173=Filter!$B$4,N173&gt;=Filter!$B$5),MAX(Y$1:Y172)+1,"")</f>
        <v/>
      </c>
      <c r="Z173" s="43" t="str">
        <f t="shared" si="29"/>
        <v>2024-12</v>
      </c>
    </row>
    <row r="174" spans="1:26" x14ac:dyDescent="0.2">
      <c r="A174" s="43" t="s">
        <v>417</v>
      </c>
      <c r="B174" s="44">
        <v>45649</v>
      </c>
      <c r="C174" s="43" t="s">
        <v>146</v>
      </c>
      <c r="D174" s="43" t="s">
        <v>147</v>
      </c>
      <c r="E174" s="43" t="s">
        <v>209</v>
      </c>
      <c r="F174" s="43" t="s">
        <v>80</v>
      </c>
      <c r="G174" s="43" t="s">
        <v>72</v>
      </c>
      <c r="H174" s="43">
        <v>2</v>
      </c>
      <c r="I174" s="45">
        <v>299.99</v>
      </c>
      <c r="J174" s="43" t="s">
        <v>78</v>
      </c>
      <c r="K174" s="43" t="s">
        <v>76</v>
      </c>
      <c r="L174" s="43" t="s">
        <v>140</v>
      </c>
      <c r="M174" s="44">
        <v>44721</v>
      </c>
      <c r="N174" s="45">
        <v>599.98</v>
      </c>
      <c r="O174" s="43" t="str">
        <f t="shared" si="20"/>
        <v>OK</v>
      </c>
      <c r="P174" s="44">
        <f t="shared" si="21"/>
        <v>45657</v>
      </c>
      <c r="Q174" s="43" t="str">
        <f t="shared" si="22"/>
        <v>Dec-24</v>
      </c>
      <c r="R174" s="43">
        <f t="shared" si="23"/>
        <v>2</v>
      </c>
      <c r="S174" s="43">
        <f t="shared" si="24"/>
        <v>30</v>
      </c>
      <c r="T174" s="43">
        <f t="shared" ca="1" si="25"/>
        <v>669</v>
      </c>
      <c r="U174" s="43" t="str">
        <f t="shared" si="26"/>
        <v>KS</v>
      </c>
      <c r="V174" s="43" t="str">
        <f t="shared" si="27"/>
        <v>DES</v>
      </c>
      <c r="W174" s="43" t="str">
        <f t="shared" si="28"/>
        <v>S-2412-171</v>
      </c>
      <c r="X174" s="43" t="str">
        <f>IF(COUNTIF($D$2:D174,D174)&gt;1,"Repeat","First")</f>
        <v>Repeat</v>
      </c>
      <c r="Y174" s="43" t="str">
        <f>IF(AND(K174=Filter!$B$4,N174&gt;=Filter!$B$5),MAX(Y$1:Y173)+1,"")</f>
        <v/>
      </c>
      <c r="Z174" s="43" t="str">
        <f t="shared" si="29"/>
        <v>2024-12</v>
      </c>
    </row>
    <row r="175" spans="1:26" x14ac:dyDescent="0.2">
      <c r="A175" s="43" t="s">
        <v>418</v>
      </c>
      <c r="B175" s="44">
        <v>45654</v>
      </c>
      <c r="C175" s="43" t="s">
        <v>154</v>
      </c>
      <c r="D175" s="43" t="s">
        <v>155</v>
      </c>
      <c r="E175" s="43" t="s">
        <v>209</v>
      </c>
      <c r="F175" s="43" t="s">
        <v>80</v>
      </c>
      <c r="G175" s="43" t="s">
        <v>72</v>
      </c>
      <c r="H175" s="43">
        <v>2</v>
      </c>
      <c r="I175" s="45">
        <v>299.99</v>
      </c>
      <c r="J175" s="43" t="s">
        <v>63</v>
      </c>
      <c r="K175" s="43" t="s">
        <v>81</v>
      </c>
      <c r="L175" s="43" t="s">
        <v>140</v>
      </c>
      <c r="M175" s="44">
        <v>44771</v>
      </c>
      <c r="N175" s="45">
        <v>599.98</v>
      </c>
      <c r="O175" s="43" t="str">
        <f t="shared" si="20"/>
        <v>OK</v>
      </c>
      <c r="P175" s="44">
        <f t="shared" si="21"/>
        <v>45657</v>
      </c>
      <c r="Q175" s="43" t="str">
        <f t="shared" si="22"/>
        <v>Dec-24</v>
      </c>
      <c r="R175" s="43">
        <f t="shared" si="23"/>
        <v>2</v>
      </c>
      <c r="S175" s="43">
        <f t="shared" si="24"/>
        <v>28</v>
      </c>
      <c r="T175" s="43">
        <f t="shared" ca="1" si="25"/>
        <v>664</v>
      </c>
      <c r="U175" s="43" t="str">
        <f t="shared" si="26"/>
        <v>MB</v>
      </c>
      <c r="V175" s="43" t="str">
        <f t="shared" si="27"/>
        <v>DES</v>
      </c>
      <c r="W175" s="43" t="str">
        <f t="shared" si="28"/>
        <v>W-2412-143</v>
      </c>
      <c r="X175" s="43" t="str">
        <f>IF(COUNTIF($D$2:D175,D175)&gt;1,"Repeat","First")</f>
        <v>Repeat</v>
      </c>
      <c r="Y175" s="43" t="str">
        <f>IF(AND(K175=Filter!$B$4,N175&gt;=Filter!$B$5),MAX(Y$1:Y174)+1,"")</f>
        <v/>
      </c>
      <c r="Z175" s="43" t="str">
        <f t="shared" si="29"/>
        <v>2024-12</v>
      </c>
    </row>
    <row r="176" spans="1:26" x14ac:dyDescent="0.2">
      <c r="A176" s="43" t="s">
        <v>419</v>
      </c>
      <c r="B176" s="44">
        <v>45654</v>
      </c>
      <c r="C176" s="43" t="s">
        <v>221</v>
      </c>
      <c r="D176" s="43" t="s">
        <v>222</v>
      </c>
      <c r="E176" s="43" t="s">
        <v>227</v>
      </c>
      <c r="F176" s="43" t="s">
        <v>91</v>
      </c>
      <c r="G176" s="43" t="s">
        <v>72</v>
      </c>
      <c r="H176" s="43">
        <v>4</v>
      </c>
      <c r="I176" s="45">
        <v>199.99</v>
      </c>
      <c r="J176" s="43" t="s">
        <v>68</v>
      </c>
      <c r="K176" s="43" t="s">
        <v>61</v>
      </c>
      <c r="L176" s="43" t="s">
        <v>140</v>
      </c>
      <c r="M176" s="44">
        <v>44523</v>
      </c>
      <c r="N176" s="45">
        <v>799.96</v>
      </c>
      <c r="O176" s="43" t="str">
        <f t="shared" si="20"/>
        <v>OK</v>
      </c>
      <c r="P176" s="44">
        <f t="shared" si="21"/>
        <v>45657</v>
      </c>
      <c r="Q176" s="43" t="str">
        <f t="shared" si="22"/>
        <v>Dec-24</v>
      </c>
      <c r="R176" s="43">
        <f t="shared" si="23"/>
        <v>3</v>
      </c>
      <c r="S176" s="43">
        <f t="shared" si="24"/>
        <v>37</v>
      </c>
      <c r="T176" s="43">
        <f t="shared" ca="1" si="25"/>
        <v>664</v>
      </c>
      <c r="U176" s="43" t="str">
        <f t="shared" si="26"/>
        <v>HR</v>
      </c>
      <c r="V176" s="43" t="str">
        <f t="shared" si="27"/>
        <v>OFF</v>
      </c>
      <c r="W176" s="43" t="str">
        <f t="shared" si="28"/>
        <v>C-2412-165</v>
      </c>
      <c r="X176" s="43" t="str">
        <f>IF(COUNTIF($D$2:D176,D176)&gt;1,"Repeat","First")</f>
        <v>Repeat</v>
      </c>
      <c r="Y176" s="43" t="str">
        <f>IF(AND(K176=Filter!$B$4,N176&gt;=Filter!$B$5),MAX(Y$1:Y175)+1,"")</f>
        <v/>
      </c>
      <c r="Z176" s="43" t="str">
        <f t="shared" si="29"/>
        <v>2024-12</v>
      </c>
    </row>
    <row r="177" spans="1:26" x14ac:dyDescent="0.2">
      <c r="A177" s="43" t="s">
        <v>420</v>
      </c>
      <c r="B177" s="44">
        <v>45655</v>
      </c>
      <c r="C177" s="43" t="s">
        <v>166</v>
      </c>
      <c r="D177" s="43" t="s">
        <v>167</v>
      </c>
      <c r="E177" s="43" t="s">
        <v>219</v>
      </c>
      <c r="F177" s="43" t="s">
        <v>85</v>
      </c>
      <c r="G177" s="43" t="s">
        <v>67</v>
      </c>
      <c r="H177" s="43">
        <v>1</v>
      </c>
      <c r="I177" s="45">
        <v>89.99</v>
      </c>
      <c r="J177" s="43" t="s">
        <v>68</v>
      </c>
      <c r="K177" s="43" t="s">
        <v>76</v>
      </c>
      <c r="L177" s="43" t="s">
        <v>144</v>
      </c>
      <c r="M177" s="44">
        <v>44591</v>
      </c>
      <c r="N177" s="45">
        <v>89.99</v>
      </c>
      <c r="O177" s="43" t="str">
        <f t="shared" si="20"/>
        <v>OK</v>
      </c>
      <c r="P177" s="44">
        <f t="shared" si="21"/>
        <v>45657</v>
      </c>
      <c r="Q177" s="43" t="str">
        <f t="shared" si="22"/>
        <v>Dec-24</v>
      </c>
      <c r="R177" s="43">
        <f t="shared" si="23"/>
        <v>2</v>
      </c>
      <c r="S177" s="43">
        <f t="shared" si="24"/>
        <v>34</v>
      </c>
      <c r="T177" s="43">
        <f t="shared" ca="1" si="25"/>
        <v>663</v>
      </c>
      <c r="U177" s="43" t="str">
        <f t="shared" si="26"/>
        <v>RT</v>
      </c>
      <c r="V177" s="43" t="str">
        <f t="shared" si="27"/>
        <v>KEY</v>
      </c>
      <c r="W177" s="43" t="str">
        <f t="shared" si="28"/>
        <v>S-2412-156</v>
      </c>
      <c r="X177" s="43" t="str">
        <f>IF(COUNTIF($D$2:D177,D177)&gt;1,"Repeat","First")</f>
        <v>Repeat</v>
      </c>
      <c r="Y177" s="43" t="str">
        <f>IF(AND(K177=Filter!$B$4,N177&gt;=Filter!$B$5),MAX(Y$1:Y176)+1,"")</f>
        <v/>
      </c>
      <c r="Z177" s="43" t="str">
        <f t="shared" si="29"/>
        <v>2024-12</v>
      </c>
    </row>
    <row r="178" spans="1:26" x14ac:dyDescent="0.2">
      <c r="A178" s="43" t="s">
        <v>421</v>
      </c>
      <c r="B178" s="44">
        <v>45655</v>
      </c>
      <c r="C178" s="43" t="s">
        <v>211</v>
      </c>
      <c r="D178" s="43" t="s">
        <v>212</v>
      </c>
      <c r="E178" s="43" t="s">
        <v>156</v>
      </c>
      <c r="F178" s="43" t="s">
        <v>70</v>
      </c>
      <c r="G178" s="43" t="s">
        <v>72</v>
      </c>
      <c r="H178" s="43">
        <v>5</v>
      </c>
      <c r="I178" s="45">
        <v>149.99</v>
      </c>
      <c r="J178" s="43" t="s">
        <v>63</v>
      </c>
      <c r="K178" s="43" t="s">
        <v>61</v>
      </c>
      <c r="L178" s="43" t="s">
        <v>144</v>
      </c>
      <c r="M178" s="44">
        <v>45347</v>
      </c>
      <c r="N178" s="45">
        <v>749.95</v>
      </c>
      <c r="O178" s="43" t="str">
        <f t="shared" si="20"/>
        <v>OK</v>
      </c>
      <c r="P178" s="44">
        <f t="shared" si="21"/>
        <v>45657</v>
      </c>
      <c r="Q178" s="43" t="str">
        <f t="shared" si="22"/>
        <v>Dec-24</v>
      </c>
      <c r="R178" s="43">
        <f t="shared" si="23"/>
        <v>0</v>
      </c>
      <c r="S178" s="43">
        <f t="shared" si="24"/>
        <v>10</v>
      </c>
      <c r="T178" s="43">
        <f t="shared" ca="1" si="25"/>
        <v>663</v>
      </c>
      <c r="U178" s="43" t="str">
        <f t="shared" si="26"/>
        <v>NC</v>
      </c>
      <c r="V178" s="43" t="str">
        <f t="shared" si="27"/>
        <v>BOO</v>
      </c>
      <c r="W178" s="43" t="str">
        <f t="shared" si="28"/>
        <v>C-2412-147</v>
      </c>
      <c r="X178" s="43" t="str">
        <f>IF(COUNTIF($D$2:D178,D178)&gt;1,"Repeat","First")</f>
        <v>Repeat</v>
      </c>
      <c r="Y178" s="43" t="str">
        <f>IF(AND(K178=Filter!$B$4,N178&gt;=Filter!$B$5),MAX(Y$1:Y177)+1,"")</f>
        <v/>
      </c>
      <c r="Z178" s="43" t="str">
        <f t="shared" si="29"/>
        <v>2024-12</v>
      </c>
    </row>
    <row r="179" spans="1:26" x14ac:dyDescent="0.2">
      <c r="A179" s="43" t="s">
        <v>422</v>
      </c>
      <c r="B179" s="44">
        <v>45657</v>
      </c>
      <c r="C179" s="43" t="s">
        <v>190</v>
      </c>
      <c r="D179" s="43" t="s">
        <v>191</v>
      </c>
      <c r="E179" s="43" t="s">
        <v>168</v>
      </c>
      <c r="F179" s="43" t="s">
        <v>87</v>
      </c>
      <c r="G179" s="43" t="s">
        <v>67</v>
      </c>
      <c r="H179" s="43">
        <v>1</v>
      </c>
      <c r="I179" s="45">
        <v>899.99</v>
      </c>
      <c r="J179" s="43" t="s">
        <v>78</v>
      </c>
      <c r="K179" s="43" t="s">
        <v>71</v>
      </c>
      <c r="L179" s="43" t="s">
        <v>144</v>
      </c>
      <c r="M179" s="44">
        <v>45050</v>
      </c>
      <c r="N179" s="45">
        <v>899.99</v>
      </c>
      <c r="O179" s="43" t="str">
        <f t="shared" si="20"/>
        <v>OK</v>
      </c>
      <c r="P179" s="44">
        <f t="shared" si="21"/>
        <v>45657</v>
      </c>
      <c r="Q179" s="43" t="str">
        <f t="shared" si="22"/>
        <v>Dec-24</v>
      </c>
      <c r="R179" s="43">
        <f t="shared" si="23"/>
        <v>1</v>
      </c>
      <c r="S179" s="43">
        <f t="shared" si="24"/>
        <v>19</v>
      </c>
      <c r="T179" s="43">
        <f t="shared" ca="1" si="25"/>
        <v>661</v>
      </c>
      <c r="U179" s="43" t="str">
        <f t="shared" si="26"/>
        <v>MC</v>
      </c>
      <c r="V179" s="43" t="str">
        <f t="shared" si="27"/>
        <v>LAP</v>
      </c>
      <c r="W179" s="43" t="str">
        <f t="shared" si="28"/>
        <v>N-2412-207</v>
      </c>
      <c r="X179" s="43" t="str">
        <f>IF(COUNTIF($D$2:D179,D179)&gt;1,"Repeat","First")</f>
        <v>Repeat</v>
      </c>
      <c r="Y179" s="43" t="str">
        <f>IF(AND(K179=Filter!$B$4,N179&gt;=Filter!$B$5),MAX(Y$1:Y178)+1,"")</f>
        <v/>
      </c>
      <c r="Z179" s="43" t="str">
        <f t="shared" si="29"/>
        <v>2024-12</v>
      </c>
    </row>
    <row r="180" spans="1:26" x14ac:dyDescent="0.2">
      <c r="A180" s="43" t="s">
        <v>423</v>
      </c>
      <c r="B180" s="44">
        <v>45660</v>
      </c>
      <c r="C180" s="43" t="s">
        <v>247</v>
      </c>
      <c r="D180" s="43" t="s">
        <v>248</v>
      </c>
      <c r="E180" s="43" t="s">
        <v>219</v>
      </c>
      <c r="F180" s="43" t="s">
        <v>85</v>
      </c>
      <c r="G180" s="43" t="s">
        <v>67</v>
      </c>
      <c r="H180" s="43">
        <v>2</v>
      </c>
      <c r="I180" s="45">
        <v>89.99</v>
      </c>
      <c r="J180" s="43" t="s">
        <v>68</v>
      </c>
      <c r="K180" s="43" t="s">
        <v>76</v>
      </c>
      <c r="L180" s="43" t="s">
        <v>144</v>
      </c>
      <c r="M180" s="44">
        <v>44564</v>
      </c>
      <c r="N180" s="45">
        <v>179.98</v>
      </c>
      <c r="O180" s="43" t="str">
        <f t="shared" si="20"/>
        <v>OK</v>
      </c>
      <c r="P180" s="44">
        <f t="shared" si="21"/>
        <v>45688</v>
      </c>
      <c r="Q180" s="43" t="str">
        <f t="shared" si="22"/>
        <v>Jan-25</v>
      </c>
      <c r="R180" s="43">
        <f t="shared" si="23"/>
        <v>3</v>
      </c>
      <c r="S180" s="43">
        <f t="shared" si="24"/>
        <v>36</v>
      </c>
      <c r="T180" s="43">
        <f t="shared" ca="1" si="25"/>
        <v>658</v>
      </c>
      <c r="U180" s="43" t="str">
        <f t="shared" si="26"/>
        <v>DK</v>
      </c>
      <c r="V180" s="43" t="str">
        <f t="shared" si="27"/>
        <v>KEY</v>
      </c>
      <c r="W180" s="43" t="str">
        <f t="shared" si="28"/>
        <v>S-2501-056</v>
      </c>
      <c r="X180" s="43" t="str">
        <f>IF(COUNTIF($D$2:D180,D180)&gt;1,"Repeat","First")</f>
        <v>Repeat</v>
      </c>
      <c r="Y180" s="43" t="str">
        <f>IF(AND(K180=Filter!$B$4,N180&gt;=Filter!$B$5),MAX(Y$1:Y179)+1,"")</f>
        <v/>
      </c>
      <c r="Z180" s="43" t="str">
        <f t="shared" si="29"/>
        <v>2025-01</v>
      </c>
    </row>
    <row r="181" spans="1:26" x14ac:dyDescent="0.2">
      <c r="A181" s="43" t="s">
        <v>424</v>
      </c>
      <c r="B181" s="44">
        <v>45661</v>
      </c>
      <c r="C181" s="43" t="s">
        <v>425</v>
      </c>
      <c r="D181" s="43" t="s">
        <v>426</v>
      </c>
      <c r="E181" s="43" t="s">
        <v>168</v>
      </c>
      <c r="F181" s="43" t="s">
        <v>87</v>
      </c>
      <c r="G181" s="43" t="s">
        <v>67</v>
      </c>
      <c r="H181" s="43">
        <v>1</v>
      </c>
      <c r="I181" s="45">
        <v>899.99</v>
      </c>
      <c r="J181" s="43" t="s">
        <v>78</v>
      </c>
      <c r="K181" s="43" t="s">
        <v>71</v>
      </c>
      <c r="L181" s="43" t="s">
        <v>149</v>
      </c>
      <c r="M181" s="44">
        <v>44752</v>
      </c>
      <c r="N181" s="45">
        <v>899.99</v>
      </c>
      <c r="O181" s="43" t="str">
        <f t="shared" si="20"/>
        <v>OK</v>
      </c>
      <c r="P181" s="44">
        <f t="shared" si="21"/>
        <v>45688</v>
      </c>
      <c r="Q181" s="43" t="str">
        <f t="shared" si="22"/>
        <v>Jan-25</v>
      </c>
      <c r="R181" s="43">
        <f t="shared" si="23"/>
        <v>2</v>
      </c>
      <c r="S181" s="43">
        <f t="shared" si="24"/>
        <v>29</v>
      </c>
      <c r="T181" s="43">
        <f t="shared" ca="1" si="25"/>
        <v>657</v>
      </c>
      <c r="U181" s="43" t="str">
        <f t="shared" si="26"/>
        <v>AE</v>
      </c>
      <c r="V181" s="43" t="str">
        <f t="shared" si="27"/>
        <v>LAP</v>
      </c>
      <c r="W181" s="43" t="str">
        <f t="shared" si="28"/>
        <v>N-2501-026</v>
      </c>
      <c r="X181" s="43" t="str">
        <f>IF(COUNTIF($D$2:D181,D181)&gt;1,"Repeat","First")</f>
        <v>First</v>
      </c>
      <c r="Y181" s="43" t="str">
        <f>IF(AND(K181=Filter!$B$4,N181&gt;=Filter!$B$5),MAX(Y$1:Y180)+1,"")</f>
        <v/>
      </c>
      <c r="Z181" s="43" t="str">
        <f t="shared" si="29"/>
        <v>2025-01</v>
      </c>
    </row>
    <row r="182" spans="1:26" x14ac:dyDescent="0.2">
      <c r="A182" s="43" t="s">
        <v>427</v>
      </c>
      <c r="B182" s="44">
        <v>45663</v>
      </c>
      <c r="C182" s="43" t="s">
        <v>229</v>
      </c>
      <c r="D182" s="43" t="s">
        <v>230</v>
      </c>
      <c r="E182" s="43" t="s">
        <v>161</v>
      </c>
      <c r="F182" s="43" t="s">
        <v>83</v>
      </c>
      <c r="G182" s="43" t="s">
        <v>67</v>
      </c>
      <c r="H182" s="43">
        <v>5</v>
      </c>
      <c r="I182" s="45">
        <v>149.99</v>
      </c>
      <c r="J182" s="43" t="s">
        <v>78</v>
      </c>
      <c r="K182" s="43" t="s">
        <v>66</v>
      </c>
      <c r="L182" s="43" t="s">
        <v>144</v>
      </c>
      <c r="M182" s="44">
        <v>44824</v>
      </c>
      <c r="N182" s="45">
        <v>749.95</v>
      </c>
      <c r="O182" s="43" t="str">
        <f t="shared" si="20"/>
        <v>OK</v>
      </c>
      <c r="P182" s="44">
        <f t="shared" si="21"/>
        <v>45688</v>
      </c>
      <c r="Q182" s="43" t="str">
        <f t="shared" si="22"/>
        <v>Jan-25</v>
      </c>
      <c r="R182" s="43">
        <f t="shared" si="23"/>
        <v>2</v>
      </c>
      <c r="S182" s="43">
        <f t="shared" si="24"/>
        <v>27</v>
      </c>
      <c r="T182" s="43">
        <f t="shared" ca="1" si="25"/>
        <v>655</v>
      </c>
      <c r="U182" s="43" t="str">
        <f t="shared" si="26"/>
        <v>LA</v>
      </c>
      <c r="V182" s="43" t="str">
        <f t="shared" si="27"/>
        <v>HEA</v>
      </c>
      <c r="W182" s="43" t="str">
        <f t="shared" si="28"/>
        <v>E-2501-237</v>
      </c>
      <c r="X182" s="43" t="str">
        <f>IF(COUNTIF($D$2:D182,D182)&gt;1,"Repeat","First")</f>
        <v>Repeat</v>
      </c>
      <c r="Y182" s="43" t="str">
        <f>IF(AND(K182=Filter!$B$4,N182&gt;=Filter!$B$5),MAX(Y$1:Y181)+1,"")</f>
        <v/>
      </c>
      <c r="Z182" s="43" t="str">
        <f t="shared" si="29"/>
        <v>2025-01</v>
      </c>
    </row>
    <row r="183" spans="1:26" x14ac:dyDescent="0.2">
      <c r="A183" s="43" t="s">
        <v>428</v>
      </c>
      <c r="B183" s="44">
        <v>45663</v>
      </c>
      <c r="C183" s="43" t="s">
        <v>154</v>
      </c>
      <c r="D183" s="43" t="s">
        <v>155</v>
      </c>
      <c r="E183" s="43" t="s">
        <v>209</v>
      </c>
      <c r="F183" s="43" t="s">
        <v>80</v>
      </c>
      <c r="G183" s="43" t="s">
        <v>72</v>
      </c>
      <c r="H183" s="43">
        <v>3</v>
      </c>
      <c r="I183" s="45">
        <v>299.99</v>
      </c>
      <c r="J183" s="43" t="s">
        <v>63</v>
      </c>
      <c r="K183" s="43" t="s">
        <v>76</v>
      </c>
      <c r="L183" s="43" t="s">
        <v>149</v>
      </c>
      <c r="M183" s="44">
        <v>44422</v>
      </c>
      <c r="N183" s="45">
        <v>899.97</v>
      </c>
      <c r="O183" s="43" t="str">
        <f t="shared" si="20"/>
        <v>OK</v>
      </c>
      <c r="P183" s="44">
        <f t="shared" si="21"/>
        <v>45688</v>
      </c>
      <c r="Q183" s="43" t="str">
        <f t="shared" si="22"/>
        <v>Jan-25</v>
      </c>
      <c r="R183" s="43">
        <f t="shared" si="23"/>
        <v>3</v>
      </c>
      <c r="S183" s="43">
        <f t="shared" si="24"/>
        <v>40</v>
      </c>
      <c r="T183" s="43">
        <f t="shared" ca="1" si="25"/>
        <v>655</v>
      </c>
      <c r="U183" s="43" t="str">
        <f t="shared" si="26"/>
        <v>MB</v>
      </c>
      <c r="V183" s="43" t="str">
        <f t="shared" si="27"/>
        <v>DES</v>
      </c>
      <c r="W183" s="43" t="str">
        <f t="shared" si="28"/>
        <v>S-2501-091</v>
      </c>
      <c r="X183" s="43" t="str">
        <f>IF(COUNTIF($D$2:D183,D183)&gt;1,"Repeat","First")</f>
        <v>Repeat</v>
      </c>
      <c r="Y183" s="43" t="str">
        <f>IF(AND(K183=Filter!$B$4,N183&gt;=Filter!$B$5),MAX(Y$1:Y182)+1,"")</f>
        <v/>
      </c>
      <c r="Z183" s="43" t="str">
        <f t="shared" si="29"/>
        <v>2025-01</v>
      </c>
    </row>
    <row r="184" spans="1:26" x14ac:dyDescent="0.2">
      <c r="A184" s="43" t="s">
        <v>429</v>
      </c>
      <c r="B184" s="44">
        <v>45666</v>
      </c>
      <c r="C184" s="43" t="s">
        <v>170</v>
      </c>
      <c r="D184" s="43" t="s">
        <v>171</v>
      </c>
      <c r="E184" s="43" t="s">
        <v>185</v>
      </c>
      <c r="F184" s="43" t="s">
        <v>93</v>
      </c>
      <c r="G184" s="43" t="s">
        <v>67</v>
      </c>
      <c r="H184" s="43">
        <v>3</v>
      </c>
      <c r="I184" s="45">
        <v>699.99</v>
      </c>
      <c r="J184" s="43" t="s">
        <v>68</v>
      </c>
      <c r="K184" s="43" t="s">
        <v>61</v>
      </c>
      <c r="L184" s="43" t="s">
        <v>144</v>
      </c>
      <c r="M184" s="44">
        <v>45105</v>
      </c>
      <c r="N184" s="45">
        <v>2099.9699999999998</v>
      </c>
      <c r="O184" s="43" t="str">
        <f t="shared" si="20"/>
        <v>OK</v>
      </c>
      <c r="P184" s="44">
        <f t="shared" si="21"/>
        <v>45688</v>
      </c>
      <c r="Q184" s="43" t="str">
        <f t="shared" si="22"/>
        <v>Jan-25</v>
      </c>
      <c r="R184" s="43">
        <f t="shared" si="23"/>
        <v>1</v>
      </c>
      <c r="S184" s="43">
        <f t="shared" si="24"/>
        <v>18</v>
      </c>
      <c r="T184" s="43">
        <f t="shared" ca="1" si="25"/>
        <v>652</v>
      </c>
      <c r="U184" s="43" t="str">
        <f t="shared" si="26"/>
        <v>KH</v>
      </c>
      <c r="V184" s="43" t="str">
        <f t="shared" si="27"/>
        <v>SMA</v>
      </c>
      <c r="W184" s="43" t="str">
        <f t="shared" si="28"/>
        <v>C-2501-125</v>
      </c>
      <c r="X184" s="43" t="str">
        <f>IF(COUNTIF($D$2:D184,D184)&gt;1,"Repeat","First")</f>
        <v>Repeat</v>
      </c>
      <c r="Y184" s="43" t="str">
        <f>IF(AND(K184=Filter!$B$4,N184&gt;=Filter!$B$5),MAX(Y$1:Y183)+1,"")</f>
        <v/>
      </c>
      <c r="Z184" s="43" t="str">
        <f t="shared" si="29"/>
        <v>2025-01</v>
      </c>
    </row>
    <row r="185" spans="1:26" x14ac:dyDescent="0.2">
      <c r="A185" s="43" t="s">
        <v>430</v>
      </c>
      <c r="B185" s="44">
        <v>45667</v>
      </c>
      <c r="C185" s="43" t="s">
        <v>211</v>
      </c>
      <c r="D185" s="43" t="s">
        <v>212</v>
      </c>
      <c r="E185" s="43" t="s">
        <v>227</v>
      </c>
      <c r="F185" s="43" t="s">
        <v>91</v>
      </c>
      <c r="G185" s="43" t="s">
        <v>72</v>
      </c>
      <c r="H185" s="43">
        <v>5</v>
      </c>
      <c r="I185" s="45">
        <v>199.99</v>
      </c>
      <c r="J185" s="43" t="s">
        <v>78</v>
      </c>
      <c r="K185" s="43" t="s">
        <v>61</v>
      </c>
      <c r="L185" s="43" t="s">
        <v>149</v>
      </c>
      <c r="M185" s="44">
        <v>44633</v>
      </c>
      <c r="N185" s="45">
        <v>999.95</v>
      </c>
      <c r="O185" s="43" t="str">
        <f t="shared" si="20"/>
        <v>OK</v>
      </c>
      <c r="P185" s="44">
        <f t="shared" si="21"/>
        <v>45688</v>
      </c>
      <c r="Q185" s="43" t="str">
        <f t="shared" si="22"/>
        <v>Jan-25</v>
      </c>
      <c r="R185" s="43">
        <f t="shared" si="23"/>
        <v>2</v>
      </c>
      <c r="S185" s="43">
        <f t="shared" si="24"/>
        <v>33</v>
      </c>
      <c r="T185" s="43">
        <f t="shared" ca="1" si="25"/>
        <v>651</v>
      </c>
      <c r="U185" s="43" t="str">
        <f t="shared" si="26"/>
        <v>NC</v>
      </c>
      <c r="V185" s="43" t="str">
        <f t="shared" si="27"/>
        <v>OFF</v>
      </c>
      <c r="W185" s="43" t="str">
        <f t="shared" si="28"/>
        <v>C-2501-223</v>
      </c>
      <c r="X185" s="43" t="str">
        <f>IF(COUNTIF($D$2:D185,D185)&gt;1,"Repeat","First")</f>
        <v>Repeat</v>
      </c>
      <c r="Y185" s="43" t="str">
        <f>IF(AND(K185=Filter!$B$4,N185&gt;=Filter!$B$5),MAX(Y$1:Y184)+1,"")</f>
        <v/>
      </c>
      <c r="Z185" s="43" t="str">
        <f t="shared" si="29"/>
        <v>2025-01</v>
      </c>
    </row>
    <row r="186" spans="1:26" x14ac:dyDescent="0.2">
      <c r="A186" s="43" t="s">
        <v>431</v>
      </c>
      <c r="B186" s="44">
        <v>45667</v>
      </c>
      <c r="C186" s="43" t="s">
        <v>197</v>
      </c>
      <c r="D186" s="43" t="s">
        <v>198</v>
      </c>
      <c r="E186" s="43" t="s">
        <v>139</v>
      </c>
      <c r="F186" s="43" t="s">
        <v>89</v>
      </c>
      <c r="G186" s="43" t="s">
        <v>67</v>
      </c>
      <c r="H186" s="43">
        <v>5</v>
      </c>
      <c r="I186" s="45">
        <v>249.99</v>
      </c>
      <c r="J186" s="43" t="s">
        <v>68</v>
      </c>
      <c r="K186" s="43" t="s">
        <v>76</v>
      </c>
      <c r="L186" s="43" t="s">
        <v>140</v>
      </c>
      <c r="M186" s="44">
        <v>45330</v>
      </c>
      <c r="N186" s="45">
        <v>1249.95</v>
      </c>
      <c r="O186" s="43" t="str">
        <f t="shared" si="20"/>
        <v>OK</v>
      </c>
      <c r="P186" s="44">
        <f t="shared" si="21"/>
        <v>45688</v>
      </c>
      <c r="Q186" s="43" t="str">
        <f t="shared" si="22"/>
        <v>Jan-25</v>
      </c>
      <c r="R186" s="43">
        <f t="shared" si="23"/>
        <v>0</v>
      </c>
      <c r="S186" s="43">
        <f t="shared" si="24"/>
        <v>11</v>
      </c>
      <c r="T186" s="43">
        <f t="shared" ca="1" si="25"/>
        <v>651</v>
      </c>
      <c r="U186" s="43" t="str">
        <f t="shared" si="26"/>
        <v>VS</v>
      </c>
      <c r="V186" s="43" t="str">
        <f t="shared" si="27"/>
        <v>MON</v>
      </c>
      <c r="W186" s="43" t="str">
        <f t="shared" si="28"/>
        <v>S-2501-243</v>
      </c>
      <c r="X186" s="43" t="str">
        <f>IF(COUNTIF($D$2:D186,D186)&gt;1,"Repeat","First")</f>
        <v>Repeat</v>
      </c>
      <c r="Y186" s="43" t="str">
        <f>IF(AND(K186=Filter!$B$4,N186&gt;=Filter!$B$5),MAX(Y$1:Y185)+1,"")</f>
        <v/>
      </c>
      <c r="Z186" s="43" t="str">
        <f t="shared" si="29"/>
        <v>2025-01</v>
      </c>
    </row>
    <row r="187" spans="1:26" x14ac:dyDescent="0.2">
      <c r="A187" s="43" t="s">
        <v>432</v>
      </c>
      <c r="B187" s="44">
        <v>45668</v>
      </c>
      <c r="C187" s="43" t="s">
        <v>238</v>
      </c>
      <c r="D187" s="43" t="s">
        <v>239</v>
      </c>
      <c r="E187" s="43" t="s">
        <v>161</v>
      </c>
      <c r="F187" s="43" t="s">
        <v>83</v>
      </c>
      <c r="G187" s="43" t="s">
        <v>67</v>
      </c>
      <c r="H187" s="43">
        <v>4</v>
      </c>
      <c r="I187" s="45">
        <v>149.99</v>
      </c>
      <c r="J187" s="43" t="s">
        <v>73</v>
      </c>
      <c r="K187" s="43" t="s">
        <v>66</v>
      </c>
      <c r="L187" s="43" t="s">
        <v>149</v>
      </c>
      <c r="M187" s="44">
        <v>44536</v>
      </c>
      <c r="N187" s="45">
        <v>599.96</v>
      </c>
      <c r="O187" s="43" t="str">
        <f t="shared" si="20"/>
        <v>OK</v>
      </c>
      <c r="P187" s="44">
        <f t="shared" si="21"/>
        <v>45688</v>
      </c>
      <c r="Q187" s="43" t="str">
        <f t="shared" si="22"/>
        <v>Jan-25</v>
      </c>
      <c r="R187" s="43">
        <f t="shared" si="23"/>
        <v>3</v>
      </c>
      <c r="S187" s="43">
        <f t="shared" si="24"/>
        <v>37</v>
      </c>
      <c r="T187" s="43">
        <f t="shared" ca="1" si="25"/>
        <v>650</v>
      </c>
      <c r="U187" s="43" t="str">
        <f t="shared" si="26"/>
        <v>ST</v>
      </c>
      <c r="V187" s="43" t="str">
        <f t="shared" si="27"/>
        <v>HEA</v>
      </c>
      <c r="W187" s="43" t="str">
        <f t="shared" si="28"/>
        <v>E-2501-084</v>
      </c>
      <c r="X187" s="43" t="str">
        <f>IF(COUNTIF($D$2:D187,D187)&gt;1,"Repeat","First")</f>
        <v>Repeat</v>
      </c>
      <c r="Y187" s="43" t="str">
        <f>IF(AND(K187=Filter!$B$4,N187&gt;=Filter!$B$5),MAX(Y$1:Y186)+1,"")</f>
        <v/>
      </c>
      <c r="Z187" s="43" t="str">
        <f t="shared" si="29"/>
        <v>2025-01</v>
      </c>
    </row>
    <row r="188" spans="1:26" x14ac:dyDescent="0.2">
      <c r="A188" s="43" t="s">
        <v>433</v>
      </c>
      <c r="B188" s="44">
        <v>45668</v>
      </c>
      <c r="C188" s="43" t="s">
        <v>183</v>
      </c>
      <c r="D188" s="43" t="s">
        <v>184</v>
      </c>
      <c r="E188" s="43" t="s">
        <v>185</v>
      </c>
      <c r="F188" s="43" t="s">
        <v>93</v>
      </c>
      <c r="G188" s="43" t="s">
        <v>67</v>
      </c>
      <c r="H188" s="43">
        <v>3</v>
      </c>
      <c r="I188" s="45">
        <v>699.99</v>
      </c>
      <c r="J188" s="43" t="s">
        <v>63</v>
      </c>
      <c r="K188" s="43" t="s">
        <v>71</v>
      </c>
      <c r="L188" s="43" t="s">
        <v>144</v>
      </c>
      <c r="M188" s="44">
        <v>44602</v>
      </c>
      <c r="N188" s="45">
        <v>2099.9699999999998</v>
      </c>
      <c r="O188" s="43" t="str">
        <f t="shared" si="20"/>
        <v>OK</v>
      </c>
      <c r="P188" s="44">
        <f t="shared" si="21"/>
        <v>45688</v>
      </c>
      <c r="Q188" s="43" t="str">
        <f t="shared" si="22"/>
        <v>Jan-25</v>
      </c>
      <c r="R188" s="43">
        <f t="shared" si="23"/>
        <v>2</v>
      </c>
      <c r="S188" s="43">
        <f t="shared" si="24"/>
        <v>35</v>
      </c>
      <c r="T188" s="43">
        <f t="shared" ca="1" si="25"/>
        <v>650</v>
      </c>
      <c r="U188" s="43" t="str">
        <f t="shared" si="26"/>
        <v>MR</v>
      </c>
      <c r="V188" s="43" t="str">
        <f t="shared" si="27"/>
        <v>SMA</v>
      </c>
      <c r="W188" s="43" t="str">
        <f t="shared" si="28"/>
        <v>N-2501-238</v>
      </c>
      <c r="X188" s="43" t="str">
        <f>IF(COUNTIF($D$2:D188,D188)&gt;1,"Repeat","First")</f>
        <v>Repeat</v>
      </c>
      <c r="Y188" s="43" t="str">
        <f>IF(AND(K188=Filter!$B$4,N188&gt;=Filter!$B$5),MAX(Y$1:Y187)+1,"")</f>
        <v/>
      </c>
      <c r="Z188" s="43" t="str">
        <f t="shared" si="29"/>
        <v>2025-01</v>
      </c>
    </row>
    <row r="189" spans="1:26" x14ac:dyDescent="0.2">
      <c r="A189" s="43" t="s">
        <v>434</v>
      </c>
      <c r="B189" s="44">
        <v>45670</v>
      </c>
      <c r="C189" s="43" t="s">
        <v>393</v>
      </c>
      <c r="D189" s="43" t="s">
        <v>394</v>
      </c>
      <c r="E189" s="43" t="s">
        <v>217</v>
      </c>
      <c r="F189" s="43" t="s">
        <v>75</v>
      </c>
      <c r="G189" s="43" t="s">
        <v>62</v>
      </c>
      <c r="H189" s="43">
        <v>1</v>
      </c>
      <c r="I189" s="45">
        <v>79.989999999999995</v>
      </c>
      <c r="J189" s="43" t="s">
        <v>68</v>
      </c>
      <c r="K189" s="43" t="s">
        <v>76</v>
      </c>
      <c r="L189" s="43" t="s">
        <v>140</v>
      </c>
      <c r="M189" s="44">
        <v>45322</v>
      </c>
      <c r="N189" s="45">
        <v>79.989999999999995</v>
      </c>
      <c r="O189" s="43" t="str">
        <f t="shared" si="20"/>
        <v>OK</v>
      </c>
      <c r="P189" s="44">
        <f t="shared" si="21"/>
        <v>45688</v>
      </c>
      <c r="Q189" s="43" t="str">
        <f t="shared" si="22"/>
        <v>Jan-25</v>
      </c>
      <c r="R189" s="43">
        <f t="shared" si="23"/>
        <v>0</v>
      </c>
      <c r="S189" s="43">
        <f t="shared" si="24"/>
        <v>11</v>
      </c>
      <c r="T189" s="43">
        <f t="shared" ca="1" si="25"/>
        <v>648</v>
      </c>
      <c r="U189" s="43" t="str">
        <f t="shared" si="26"/>
        <v>DW</v>
      </c>
      <c r="V189" s="43" t="str">
        <f t="shared" si="27"/>
        <v>COF</v>
      </c>
      <c r="W189" s="43" t="str">
        <f t="shared" si="28"/>
        <v>S-2501-102</v>
      </c>
      <c r="X189" s="43" t="str">
        <f>IF(COUNTIF($D$2:D189,D189)&gt;1,"Repeat","First")</f>
        <v>Repeat</v>
      </c>
      <c r="Y189" s="43" t="str">
        <f>IF(AND(K189=Filter!$B$4,N189&gt;=Filter!$B$5),MAX(Y$1:Y188)+1,"")</f>
        <v/>
      </c>
      <c r="Z189" s="43" t="str">
        <f t="shared" si="29"/>
        <v>2025-01</v>
      </c>
    </row>
    <row r="190" spans="1:26" x14ac:dyDescent="0.2">
      <c r="A190" s="43" t="s">
        <v>435</v>
      </c>
      <c r="B190" s="44">
        <v>45670</v>
      </c>
      <c r="C190" s="43" t="s">
        <v>190</v>
      </c>
      <c r="D190" s="43" t="s">
        <v>191</v>
      </c>
      <c r="E190" s="43" t="s">
        <v>209</v>
      </c>
      <c r="F190" s="43" t="s">
        <v>80</v>
      </c>
      <c r="G190" s="43" t="s">
        <v>72</v>
      </c>
      <c r="H190" s="43">
        <v>1</v>
      </c>
      <c r="I190" s="45">
        <v>299.99</v>
      </c>
      <c r="J190" s="43" t="s">
        <v>68</v>
      </c>
      <c r="K190" s="43" t="s">
        <v>71</v>
      </c>
      <c r="L190" s="43" t="s">
        <v>140</v>
      </c>
      <c r="M190" s="44">
        <v>44436</v>
      </c>
      <c r="N190" s="45">
        <v>299.99</v>
      </c>
      <c r="O190" s="43" t="str">
        <f t="shared" si="20"/>
        <v>OK</v>
      </c>
      <c r="P190" s="44">
        <f t="shared" si="21"/>
        <v>45688</v>
      </c>
      <c r="Q190" s="43" t="str">
        <f t="shared" si="22"/>
        <v>Jan-25</v>
      </c>
      <c r="R190" s="43">
        <f t="shared" si="23"/>
        <v>3</v>
      </c>
      <c r="S190" s="43">
        <f t="shared" si="24"/>
        <v>40</v>
      </c>
      <c r="T190" s="43">
        <f t="shared" ca="1" si="25"/>
        <v>648</v>
      </c>
      <c r="U190" s="43" t="str">
        <f t="shared" si="26"/>
        <v>MC</v>
      </c>
      <c r="V190" s="43" t="str">
        <f t="shared" si="27"/>
        <v>DES</v>
      </c>
      <c r="W190" s="43" t="str">
        <f t="shared" si="28"/>
        <v>N-2501-022</v>
      </c>
      <c r="X190" s="43" t="str">
        <f>IF(COUNTIF($D$2:D190,D190)&gt;1,"Repeat","First")</f>
        <v>Repeat</v>
      </c>
      <c r="Y190" s="43" t="str">
        <f>IF(AND(K190=Filter!$B$4,N190&gt;=Filter!$B$5),MAX(Y$1:Y189)+1,"")</f>
        <v/>
      </c>
      <c r="Z190" s="43" t="str">
        <f t="shared" si="29"/>
        <v>2025-01</v>
      </c>
    </row>
    <row r="191" spans="1:26" x14ac:dyDescent="0.2">
      <c r="A191" s="43" t="s">
        <v>436</v>
      </c>
      <c r="B191" s="44">
        <v>45671</v>
      </c>
      <c r="C191" s="43" t="s">
        <v>258</v>
      </c>
      <c r="D191" s="43" t="s">
        <v>259</v>
      </c>
      <c r="E191" s="43" t="s">
        <v>139</v>
      </c>
      <c r="F191" s="43" t="s">
        <v>89</v>
      </c>
      <c r="G191" s="43" t="s">
        <v>67</v>
      </c>
      <c r="H191" s="43">
        <v>4</v>
      </c>
      <c r="I191" s="45">
        <v>249.99</v>
      </c>
      <c r="J191" s="43" t="s">
        <v>68</v>
      </c>
      <c r="K191" s="43" t="s">
        <v>71</v>
      </c>
      <c r="L191" s="43" t="s">
        <v>144</v>
      </c>
      <c r="M191" s="44">
        <v>44460</v>
      </c>
      <c r="N191" s="45">
        <v>999.96</v>
      </c>
      <c r="O191" s="43" t="str">
        <f t="shared" si="20"/>
        <v>OK</v>
      </c>
      <c r="P191" s="44">
        <f t="shared" si="21"/>
        <v>45688</v>
      </c>
      <c r="Q191" s="43" t="str">
        <f t="shared" si="22"/>
        <v>Jan-25</v>
      </c>
      <c r="R191" s="43">
        <f t="shared" si="23"/>
        <v>3</v>
      </c>
      <c r="S191" s="43">
        <f t="shared" si="24"/>
        <v>39</v>
      </c>
      <c r="T191" s="43">
        <f t="shared" ca="1" si="25"/>
        <v>647</v>
      </c>
      <c r="U191" s="43" t="str">
        <f t="shared" si="26"/>
        <v>BC</v>
      </c>
      <c r="V191" s="43" t="str">
        <f t="shared" si="27"/>
        <v>MON</v>
      </c>
      <c r="W191" s="43" t="str">
        <f t="shared" si="28"/>
        <v>N-2501-087</v>
      </c>
      <c r="X191" s="43" t="str">
        <f>IF(COUNTIF($D$2:D191,D191)&gt;1,"Repeat","First")</f>
        <v>Repeat</v>
      </c>
      <c r="Y191" s="43" t="str">
        <f>IF(AND(K191=Filter!$B$4,N191&gt;=Filter!$B$5),MAX(Y$1:Y190)+1,"")</f>
        <v/>
      </c>
      <c r="Z191" s="43" t="str">
        <f t="shared" si="29"/>
        <v>2025-01</v>
      </c>
    </row>
    <row r="192" spans="1:26" x14ac:dyDescent="0.2">
      <c r="A192" s="43" t="s">
        <v>437</v>
      </c>
      <c r="B192" s="44">
        <v>45671</v>
      </c>
      <c r="C192" s="43" t="s">
        <v>221</v>
      </c>
      <c r="D192" s="43" t="s">
        <v>222</v>
      </c>
      <c r="E192" s="43" t="s">
        <v>161</v>
      </c>
      <c r="F192" s="43" t="s">
        <v>83</v>
      </c>
      <c r="G192" s="43" t="s">
        <v>67</v>
      </c>
      <c r="H192" s="43">
        <v>2</v>
      </c>
      <c r="I192" s="45">
        <v>149.99</v>
      </c>
      <c r="J192" s="43" t="s">
        <v>63</v>
      </c>
      <c r="K192" s="43" t="s">
        <v>71</v>
      </c>
      <c r="L192" s="43" t="s">
        <v>149</v>
      </c>
      <c r="M192" s="44">
        <v>44913</v>
      </c>
      <c r="N192" s="45">
        <v>299.98</v>
      </c>
      <c r="O192" s="43" t="str">
        <f t="shared" si="20"/>
        <v>OK</v>
      </c>
      <c r="P192" s="44">
        <f t="shared" si="21"/>
        <v>45688</v>
      </c>
      <c r="Q192" s="43" t="str">
        <f t="shared" si="22"/>
        <v>Jan-25</v>
      </c>
      <c r="R192" s="43">
        <f t="shared" si="23"/>
        <v>2</v>
      </c>
      <c r="S192" s="43">
        <f t="shared" si="24"/>
        <v>24</v>
      </c>
      <c r="T192" s="43">
        <f t="shared" ca="1" si="25"/>
        <v>647</v>
      </c>
      <c r="U192" s="43" t="str">
        <f t="shared" si="26"/>
        <v>HR</v>
      </c>
      <c r="V192" s="43" t="str">
        <f t="shared" si="27"/>
        <v>HEA</v>
      </c>
      <c r="W192" s="43" t="str">
        <f t="shared" si="28"/>
        <v>N-2501-107</v>
      </c>
      <c r="X192" s="43" t="str">
        <f>IF(COUNTIF($D$2:D192,D192)&gt;1,"Repeat","First")</f>
        <v>Repeat</v>
      </c>
      <c r="Y192" s="43" t="str">
        <f>IF(AND(K192=Filter!$B$4,N192&gt;=Filter!$B$5),MAX(Y$1:Y191)+1,"")</f>
        <v/>
      </c>
      <c r="Z192" s="43" t="str">
        <f t="shared" si="29"/>
        <v>2025-01</v>
      </c>
    </row>
    <row r="193" spans="1:26" x14ac:dyDescent="0.2">
      <c r="A193" s="43" t="s">
        <v>438</v>
      </c>
      <c r="B193" s="44">
        <v>45671</v>
      </c>
      <c r="C193" s="43" t="s">
        <v>334</v>
      </c>
      <c r="D193" s="43" t="s">
        <v>335</v>
      </c>
      <c r="E193" s="43" t="s">
        <v>209</v>
      </c>
      <c r="F193" s="43" t="s">
        <v>80</v>
      </c>
      <c r="G193" s="43" t="s">
        <v>72</v>
      </c>
      <c r="H193" s="43">
        <v>3</v>
      </c>
      <c r="I193" s="45">
        <v>299.99</v>
      </c>
      <c r="J193" s="43" t="s">
        <v>68</v>
      </c>
      <c r="K193" s="43" t="s">
        <v>76</v>
      </c>
      <c r="L193" s="43" t="s">
        <v>140</v>
      </c>
      <c r="M193" s="44">
        <v>45204</v>
      </c>
      <c r="N193" s="45">
        <v>899.97</v>
      </c>
      <c r="O193" s="43" t="str">
        <f t="shared" si="20"/>
        <v>OK</v>
      </c>
      <c r="P193" s="44">
        <f t="shared" si="21"/>
        <v>45688</v>
      </c>
      <c r="Q193" s="43" t="str">
        <f t="shared" si="22"/>
        <v>Jan-25</v>
      </c>
      <c r="R193" s="43">
        <f t="shared" si="23"/>
        <v>1</v>
      </c>
      <c r="S193" s="43">
        <f t="shared" si="24"/>
        <v>15</v>
      </c>
      <c r="T193" s="43">
        <f t="shared" ca="1" si="25"/>
        <v>647</v>
      </c>
      <c r="U193" s="43" t="str">
        <f t="shared" si="26"/>
        <v>SP</v>
      </c>
      <c r="V193" s="43" t="str">
        <f t="shared" si="27"/>
        <v>DES</v>
      </c>
      <c r="W193" s="43" t="str">
        <f t="shared" si="28"/>
        <v>S-2501-051</v>
      </c>
      <c r="X193" s="43" t="str">
        <f>IF(COUNTIF($D$2:D193,D193)&gt;1,"Repeat","First")</f>
        <v>Repeat</v>
      </c>
      <c r="Y193" s="43" t="str">
        <f>IF(AND(K193=Filter!$B$4,N193&gt;=Filter!$B$5),MAX(Y$1:Y192)+1,"")</f>
        <v/>
      </c>
      <c r="Z193" s="43" t="str">
        <f t="shared" si="29"/>
        <v>2025-01</v>
      </c>
    </row>
    <row r="194" spans="1:26" x14ac:dyDescent="0.2">
      <c r="A194" s="43" t="s">
        <v>439</v>
      </c>
      <c r="B194" s="44">
        <v>45673</v>
      </c>
      <c r="C194" s="43" t="s">
        <v>326</v>
      </c>
      <c r="D194" s="43" t="s">
        <v>327</v>
      </c>
      <c r="E194" s="43" t="s">
        <v>227</v>
      </c>
      <c r="F194" s="43" t="s">
        <v>91</v>
      </c>
      <c r="G194" s="43" t="s">
        <v>72</v>
      </c>
      <c r="H194" s="43">
        <v>4</v>
      </c>
      <c r="I194" s="45">
        <v>199.99</v>
      </c>
      <c r="J194" s="43" t="s">
        <v>73</v>
      </c>
      <c r="K194" s="43" t="s">
        <v>76</v>
      </c>
      <c r="L194" s="43" t="s">
        <v>149</v>
      </c>
      <c r="M194" s="44">
        <v>44544</v>
      </c>
      <c r="N194" s="45">
        <v>799.96</v>
      </c>
      <c r="O194" s="43" t="str">
        <f t="shared" ref="O194:O257" si="30">IF(ROUND(H194*I194-N194,2)=0,"OK","Error")</f>
        <v>OK</v>
      </c>
      <c r="P194" s="44">
        <f t="shared" ref="P194:P251" si="31">EOMONTH(B194,0)</f>
        <v>45688</v>
      </c>
      <c r="Q194" s="43" t="str">
        <f t="shared" ref="Q194:Q251" si="32">TEXT(B194,"mmm-yy")</f>
        <v>Jan-25</v>
      </c>
      <c r="R194" s="43">
        <f t="shared" ref="R194:R251" si="33">DATEDIF(M194,B194,"Y")</f>
        <v>3</v>
      </c>
      <c r="S194" s="43">
        <f t="shared" ref="S194:S251" si="34">DATEDIF(M194,B194,"M")</f>
        <v>37</v>
      </c>
      <c r="T194" s="43">
        <f t="shared" ref="T194:T251" ca="1" si="35">TODAY()-B194</f>
        <v>645</v>
      </c>
      <c r="U194" s="43" t="str">
        <f t="shared" ref="U194:U251" si="36">LEFT(D194,1)&amp;MID(D194,FIND(" ",D194)+1,1)</f>
        <v>LR</v>
      </c>
      <c r="V194" s="43" t="str">
        <f t="shared" ref="V194:V251" si="37">UPPER(LEFT(F194,3))</f>
        <v>OFF</v>
      </c>
      <c r="W194" s="43" t="str">
        <f t="shared" ref="W194:W251" si="38">UPPER(LEFT(K194,1))&amp;"-"&amp;TEXT(B194,"yymm")&amp;"-"&amp;RIGHT(A194,3)</f>
        <v>S-2501-106</v>
      </c>
      <c r="X194" s="43" t="str">
        <f>IF(COUNTIF($D$2:D194,D194)&gt;1,"Repeat","First")</f>
        <v>Repeat</v>
      </c>
      <c r="Y194" s="43" t="str">
        <f>IF(AND(K194=Filter!$B$4,N194&gt;=Filter!$B$5),MAX(Y$1:Y193)+1,"")</f>
        <v/>
      </c>
      <c r="Z194" s="43" t="str">
        <f t="shared" ref="Z194:Z251" si="39">TEXT(B194,"yyyy-mm")</f>
        <v>2025-01</v>
      </c>
    </row>
    <row r="195" spans="1:26" x14ac:dyDescent="0.2">
      <c r="A195" s="43" t="s">
        <v>440</v>
      </c>
      <c r="B195" s="44">
        <v>45673</v>
      </c>
      <c r="C195" s="43" t="s">
        <v>311</v>
      </c>
      <c r="D195" s="43" t="s">
        <v>312</v>
      </c>
      <c r="E195" s="43" t="s">
        <v>209</v>
      </c>
      <c r="F195" s="43" t="s">
        <v>80</v>
      </c>
      <c r="G195" s="43" t="s">
        <v>72</v>
      </c>
      <c r="H195" s="43">
        <v>5</v>
      </c>
      <c r="I195" s="45">
        <v>299.99</v>
      </c>
      <c r="J195" s="43" t="s">
        <v>73</v>
      </c>
      <c r="K195" s="43" t="s">
        <v>61</v>
      </c>
      <c r="L195" s="43" t="s">
        <v>140</v>
      </c>
      <c r="M195" s="44">
        <v>44431</v>
      </c>
      <c r="N195" s="45">
        <v>1499.95</v>
      </c>
      <c r="O195" s="43" t="str">
        <f t="shared" si="30"/>
        <v>OK</v>
      </c>
      <c r="P195" s="44">
        <f t="shared" si="31"/>
        <v>45688</v>
      </c>
      <c r="Q195" s="43" t="str">
        <f t="shared" si="32"/>
        <v>Jan-25</v>
      </c>
      <c r="R195" s="43">
        <f t="shared" si="33"/>
        <v>3</v>
      </c>
      <c r="S195" s="43">
        <f t="shared" si="34"/>
        <v>40</v>
      </c>
      <c r="T195" s="43">
        <f t="shared" ca="1" si="35"/>
        <v>645</v>
      </c>
      <c r="U195" s="43" t="str">
        <f t="shared" si="36"/>
        <v>EH</v>
      </c>
      <c r="V195" s="43" t="str">
        <f t="shared" si="37"/>
        <v>DES</v>
      </c>
      <c r="W195" s="43" t="str">
        <f t="shared" si="38"/>
        <v>C-2501-059</v>
      </c>
      <c r="X195" s="43" t="str">
        <f>IF(COUNTIF($D$2:D195,D195)&gt;1,"Repeat","First")</f>
        <v>Repeat</v>
      </c>
      <c r="Y195" s="43" t="str">
        <f>IF(AND(K195=Filter!$B$4,N195&gt;=Filter!$B$5),MAX(Y$1:Y194)+1,"")</f>
        <v/>
      </c>
      <c r="Z195" s="43" t="str">
        <f t="shared" si="39"/>
        <v>2025-01</v>
      </c>
    </row>
    <row r="196" spans="1:26" x14ac:dyDescent="0.2">
      <c r="A196" s="43" t="s">
        <v>441</v>
      </c>
      <c r="B196" s="44">
        <v>45673</v>
      </c>
      <c r="C196" s="43" t="s">
        <v>166</v>
      </c>
      <c r="D196" s="43" t="s">
        <v>167</v>
      </c>
      <c r="E196" s="43" t="s">
        <v>156</v>
      </c>
      <c r="F196" s="43" t="s">
        <v>70</v>
      </c>
      <c r="G196" s="43" t="s">
        <v>72</v>
      </c>
      <c r="H196" s="43">
        <v>3</v>
      </c>
      <c r="I196" s="45">
        <v>149.99</v>
      </c>
      <c r="J196" s="43" t="s">
        <v>68</v>
      </c>
      <c r="K196" s="43" t="s">
        <v>66</v>
      </c>
      <c r="L196" s="43" t="s">
        <v>149</v>
      </c>
      <c r="M196" s="44">
        <v>44395</v>
      </c>
      <c r="N196" s="45">
        <v>449.97</v>
      </c>
      <c r="O196" s="43" t="str">
        <f t="shared" si="30"/>
        <v>OK</v>
      </c>
      <c r="P196" s="44">
        <f t="shared" si="31"/>
        <v>45688</v>
      </c>
      <c r="Q196" s="43" t="str">
        <f t="shared" si="32"/>
        <v>Jan-25</v>
      </c>
      <c r="R196" s="43">
        <f t="shared" si="33"/>
        <v>3</v>
      </c>
      <c r="S196" s="43">
        <f t="shared" si="34"/>
        <v>41</v>
      </c>
      <c r="T196" s="43">
        <f t="shared" ca="1" si="35"/>
        <v>645</v>
      </c>
      <c r="U196" s="43" t="str">
        <f t="shared" si="36"/>
        <v>RT</v>
      </c>
      <c r="V196" s="43" t="str">
        <f t="shared" si="37"/>
        <v>BOO</v>
      </c>
      <c r="W196" s="43" t="str">
        <f t="shared" si="38"/>
        <v>E-2501-072</v>
      </c>
      <c r="X196" s="43" t="str">
        <f>IF(COUNTIF($D$2:D196,D196)&gt;1,"Repeat","First")</f>
        <v>Repeat</v>
      </c>
      <c r="Y196" s="43" t="str">
        <f>IF(AND(K196=Filter!$B$4,N196&gt;=Filter!$B$5),MAX(Y$1:Y195)+1,"")</f>
        <v/>
      </c>
      <c r="Z196" s="43" t="str">
        <f t="shared" si="39"/>
        <v>2025-01</v>
      </c>
    </row>
    <row r="197" spans="1:26" x14ac:dyDescent="0.2">
      <c r="A197" s="43" t="s">
        <v>442</v>
      </c>
      <c r="B197" s="44">
        <v>45676</v>
      </c>
      <c r="C197" s="43" t="s">
        <v>229</v>
      </c>
      <c r="D197" s="43" t="s">
        <v>230</v>
      </c>
      <c r="E197" s="43" t="s">
        <v>148</v>
      </c>
      <c r="F197" s="43" t="s">
        <v>65</v>
      </c>
      <c r="G197" s="43" t="s">
        <v>62</v>
      </c>
      <c r="H197" s="43">
        <v>5</v>
      </c>
      <c r="I197" s="45">
        <v>59.99</v>
      </c>
      <c r="J197" s="43" t="s">
        <v>73</v>
      </c>
      <c r="K197" s="43" t="s">
        <v>66</v>
      </c>
      <c r="L197" s="43" t="s">
        <v>140</v>
      </c>
      <c r="M197" s="44">
        <v>44642</v>
      </c>
      <c r="N197" s="45">
        <v>299.95</v>
      </c>
      <c r="O197" s="43" t="str">
        <f t="shared" si="30"/>
        <v>OK</v>
      </c>
      <c r="P197" s="44">
        <f t="shared" si="31"/>
        <v>45688</v>
      </c>
      <c r="Q197" s="43" t="str">
        <f t="shared" si="32"/>
        <v>Jan-25</v>
      </c>
      <c r="R197" s="43">
        <f t="shared" si="33"/>
        <v>2</v>
      </c>
      <c r="S197" s="43">
        <f t="shared" si="34"/>
        <v>33</v>
      </c>
      <c r="T197" s="43">
        <f t="shared" ca="1" si="35"/>
        <v>642</v>
      </c>
      <c r="U197" s="43" t="str">
        <f t="shared" si="36"/>
        <v>LA</v>
      </c>
      <c r="V197" s="43" t="str">
        <f t="shared" si="37"/>
        <v>BLE</v>
      </c>
      <c r="W197" s="43" t="str">
        <f t="shared" si="38"/>
        <v>E-2501-110</v>
      </c>
      <c r="X197" s="43" t="str">
        <f>IF(COUNTIF($D$2:D197,D197)&gt;1,"Repeat","First")</f>
        <v>Repeat</v>
      </c>
      <c r="Y197" s="43" t="str">
        <f>IF(AND(K197=Filter!$B$4,N197&gt;=Filter!$B$5),MAX(Y$1:Y196)+1,"")</f>
        <v/>
      </c>
      <c r="Z197" s="43" t="str">
        <f t="shared" si="39"/>
        <v>2025-01</v>
      </c>
    </row>
    <row r="198" spans="1:26" x14ac:dyDescent="0.2">
      <c r="A198" s="43" t="s">
        <v>443</v>
      </c>
      <c r="B198" s="44">
        <v>45682</v>
      </c>
      <c r="C198" s="43" t="s">
        <v>173</v>
      </c>
      <c r="D198" s="43" t="s">
        <v>174</v>
      </c>
      <c r="E198" s="43" t="s">
        <v>148</v>
      </c>
      <c r="F198" s="43" t="s">
        <v>65</v>
      </c>
      <c r="G198" s="43" t="s">
        <v>62</v>
      </c>
      <c r="H198" s="43">
        <v>4</v>
      </c>
      <c r="I198" s="45">
        <v>59.99</v>
      </c>
      <c r="J198" s="43" t="s">
        <v>73</v>
      </c>
      <c r="K198" s="43" t="s">
        <v>66</v>
      </c>
      <c r="L198" s="43" t="s">
        <v>149</v>
      </c>
      <c r="M198" s="44">
        <v>44564</v>
      </c>
      <c r="N198" s="45">
        <v>239.96</v>
      </c>
      <c r="O198" s="43" t="str">
        <f t="shared" si="30"/>
        <v>OK</v>
      </c>
      <c r="P198" s="44">
        <f t="shared" si="31"/>
        <v>45688</v>
      </c>
      <c r="Q198" s="43" t="str">
        <f t="shared" si="32"/>
        <v>Jan-25</v>
      </c>
      <c r="R198" s="43">
        <f t="shared" si="33"/>
        <v>3</v>
      </c>
      <c r="S198" s="43">
        <f t="shared" si="34"/>
        <v>36</v>
      </c>
      <c r="T198" s="43">
        <f t="shared" ca="1" si="35"/>
        <v>636</v>
      </c>
      <c r="U198" s="43" t="str">
        <f t="shared" si="36"/>
        <v>SG</v>
      </c>
      <c r="V198" s="43" t="str">
        <f t="shared" si="37"/>
        <v>BLE</v>
      </c>
      <c r="W198" s="43" t="str">
        <f t="shared" si="38"/>
        <v>E-2501-126</v>
      </c>
      <c r="X198" s="43" t="str">
        <f>IF(COUNTIF($D$2:D198,D198)&gt;1,"Repeat","First")</f>
        <v>Repeat</v>
      </c>
      <c r="Y198" s="43" t="str">
        <f>IF(AND(K198=Filter!$B$4,N198&gt;=Filter!$B$5),MAX(Y$1:Y197)+1,"")</f>
        <v/>
      </c>
      <c r="Z198" s="43" t="str">
        <f t="shared" si="39"/>
        <v>2025-01</v>
      </c>
    </row>
    <row r="199" spans="1:26" x14ac:dyDescent="0.2">
      <c r="A199" s="43" t="s">
        <v>444</v>
      </c>
      <c r="B199" s="44">
        <v>45683</v>
      </c>
      <c r="C199" s="43" t="s">
        <v>158</v>
      </c>
      <c r="D199" s="43" t="s">
        <v>159</v>
      </c>
      <c r="E199" s="43" t="s">
        <v>139</v>
      </c>
      <c r="F199" s="43" t="s">
        <v>89</v>
      </c>
      <c r="G199" s="43" t="s">
        <v>67</v>
      </c>
      <c r="H199" s="43">
        <v>4</v>
      </c>
      <c r="I199" s="45">
        <v>249.99</v>
      </c>
      <c r="J199" s="43" t="s">
        <v>73</v>
      </c>
      <c r="K199" s="43" t="s">
        <v>61</v>
      </c>
      <c r="L199" s="43" t="s">
        <v>144</v>
      </c>
      <c r="M199" s="44">
        <v>45217</v>
      </c>
      <c r="N199" s="45">
        <v>999.96</v>
      </c>
      <c r="O199" s="43" t="str">
        <f t="shared" si="30"/>
        <v>OK</v>
      </c>
      <c r="P199" s="44">
        <f t="shared" si="31"/>
        <v>45688</v>
      </c>
      <c r="Q199" s="43" t="str">
        <f t="shared" si="32"/>
        <v>Jan-25</v>
      </c>
      <c r="R199" s="43">
        <f t="shared" si="33"/>
        <v>1</v>
      </c>
      <c r="S199" s="43">
        <f t="shared" si="34"/>
        <v>15</v>
      </c>
      <c r="T199" s="43">
        <f t="shared" ca="1" si="35"/>
        <v>635</v>
      </c>
      <c r="U199" s="43" t="str">
        <f t="shared" si="36"/>
        <v>DN</v>
      </c>
      <c r="V199" s="43" t="str">
        <f t="shared" si="37"/>
        <v>MON</v>
      </c>
      <c r="W199" s="43" t="str">
        <f t="shared" si="38"/>
        <v>C-2501-159</v>
      </c>
      <c r="X199" s="43" t="str">
        <f>IF(COUNTIF($D$2:D199,D199)&gt;1,"Repeat","First")</f>
        <v>Repeat</v>
      </c>
      <c r="Y199" s="43" t="str">
        <f>IF(AND(K199=Filter!$B$4,N199&gt;=Filter!$B$5),MAX(Y$1:Y198)+1,"")</f>
        <v/>
      </c>
      <c r="Z199" s="43" t="str">
        <f t="shared" si="39"/>
        <v>2025-01</v>
      </c>
    </row>
    <row r="200" spans="1:26" x14ac:dyDescent="0.2">
      <c r="A200" s="43" t="s">
        <v>445</v>
      </c>
      <c r="B200" s="44">
        <v>45686</v>
      </c>
      <c r="C200" s="43" t="s">
        <v>352</v>
      </c>
      <c r="D200" s="43" t="s">
        <v>353</v>
      </c>
      <c r="E200" s="43" t="s">
        <v>168</v>
      </c>
      <c r="F200" s="43" t="s">
        <v>87</v>
      </c>
      <c r="G200" s="43" t="s">
        <v>67</v>
      </c>
      <c r="H200" s="43">
        <v>4</v>
      </c>
      <c r="I200" s="45">
        <v>899.99</v>
      </c>
      <c r="J200" s="43" t="s">
        <v>78</v>
      </c>
      <c r="K200" s="43" t="s">
        <v>61</v>
      </c>
      <c r="L200" s="43" t="s">
        <v>140</v>
      </c>
      <c r="M200" s="44">
        <v>44734</v>
      </c>
      <c r="N200" s="45">
        <v>3599.96</v>
      </c>
      <c r="O200" s="43" t="str">
        <f t="shared" si="30"/>
        <v>OK</v>
      </c>
      <c r="P200" s="44">
        <f t="shared" si="31"/>
        <v>45688</v>
      </c>
      <c r="Q200" s="43" t="str">
        <f t="shared" si="32"/>
        <v>Jan-25</v>
      </c>
      <c r="R200" s="43">
        <f t="shared" si="33"/>
        <v>2</v>
      </c>
      <c r="S200" s="43">
        <f t="shared" si="34"/>
        <v>31</v>
      </c>
      <c r="T200" s="43">
        <f t="shared" ca="1" si="35"/>
        <v>632</v>
      </c>
      <c r="U200" s="43" t="str">
        <f t="shared" si="36"/>
        <v>WW</v>
      </c>
      <c r="V200" s="43" t="str">
        <f t="shared" si="37"/>
        <v>LAP</v>
      </c>
      <c r="W200" s="43" t="str">
        <f t="shared" si="38"/>
        <v>C-2501-030</v>
      </c>
      <c r="X200" s="43" t="str">
        <f>IF(COUNTIF($D$2:D200,D200)&gt;1,"Repeat","First")</f>
        <v>Repeat</v>
      </c>
      <c r="Y200" s="43" t="str">
        <f>IF(AND(K200=Filter!$B$4,N200&gt;=Filter!$B$5),MAX(Y$1:Y199)+1,"")</f>
        <v/>
      </c>
      <c r="Z200" s="43" t="str">
        <f t="shared" si="39"/>
        <v>2025-01</v>
      </c>
    </row>
    <row r="201" spans="1:26" x14ac:dyDescent="0.2">
      <c r="A201" s="43" t="s">
        <v>446</v>
      </c>
      <c r="B201" s="44">
        <v>45686</v>
      </c>
      <c r="C201" s="43" t="s">
        <v>190</v>
      </c>
      <c r="D201" s="43" t="s">
        <v>191</v>
      </c>
      <c r="E201" s="43" t="s">
        <v>209</v>
      </c>
      <c r="F201" s="43" t="s">
        <v>80</v>
      </c>
      <c r="G201" s="43" t="s">
        <v>72</v>
      </c>
      <c r="H201" s="43">
        <v>3</v>
      </c>
      <c r="I201" s="45">
        <v>299.99</v>
      </c>
      <c r="J201" s="43" t="s">
        <v>73</v>
      </c>
      <c r="K201" s="43" t="s">
        <v>81</v>
      </c>
      <c r="L201" s="43" t="s">
        <v>149</v>
      </c>
      <c r="M201" s="44">
        <v>44952</v>
      </c>
      <c r="N201" s="45">
        <v>899.97</v>
      </c>
      <c r="O201" s="43" t="str">
        <f t="shared" si="30"/>
        <v>OK</v>
      </c>
      <c r="P201" s="44">
        <f t="shared" si="31"/>
        <v>45688</v>
      </c>
      <c r="Q201" s="43" t="str">
        <f t="shared" si="32"/>
        <v>Jan-25</v>
      </c>
      <c r="R201" s="43">
        <f t="shared" si="33"/>
        <v>2</v>
      </c>
      <c r="S201" s="43">
        <f t="shared" si="34"/>
        <v>24</v>
      </c>
      <c r="T201" s="43">
        <f t="shared" ca="1" si="35"/>
        <v>632</v>
      </c>
      <c r="U201" s="43" t="str">
        <f t="shared" si="36"/>
        <v>MC</v>
      </c>
      <c r="V201" s="43" t="str">
        <f t="shared" si="37"/>
        <v>DES</v>
      </c>
      <c r="W201" s="43" t="str">
        <f t="shared" si="38"/>
        <v>W-2501-178</v>
      </c>
      <c r="X201" s="43" t="str">
        <f>IF(COUNTIF($D$2:D201,D201)&gt;1,"Repeat","First")</f>
        <v>Repeat</v>
      </c>
      <c r="Y201" s="43" t="str">
        <f>IF(AND(K201=Filter!$B$4,N201&gt;=Filter!$B$5),MAX(Y$1:Y200)+1,"")</f>
        <v/>
      </c>
      <c r="Z201" s="43" t="str">
        <f t="shared" si="39"/>
        <v>2025-01</v>
      </c>
    </row>
    <row r="202" spans="1:26" x14ac:dyDescent="0.2">
      <c r="A202" s="43" t="s">
        <v>447</v>
      </c>
      <c r="B202" s="44">
        <v>45686</v>
      </c>
      <c r="C202" s="43" t="s">
        <v>393</v>
      </c>
      <c r="D202" s="43" t="s">
        <v>394</v>
      </c>
      <c r="E202" s="43" t="s">
        <v>185</v>
      </c>
      <c r="F202" s="43" t="s">
        <v>93</v>
      </c>
      <c r="G202" s="43" t="s">
        <v>67</v>
      </c>
      <c r="H202" s="43">
        <v>2</v>
      </c>
      <c r="I202" s="45">
        <v>699.99</v>
      </c>
      <c r="J202" s="43" t="s">
        <v>73</v>
      </c>
      <c r="K202" s="43" t="s">
        <v>61</v>
      </c>
      <c r="L202" s="43" t="s">
        <v>144</v>
      </c>
      <c r="M202" s="44">
        <v>44681</v>
      </c>
      <c r="N202" s="45">
        <v>1399.98</v>
      </c>
      <c r="O202" s="43" t="str">
        <f t="shared" si="30"/>
        <v>OK</v>
      </c>
      <c r="P202" s="44">
        <f t="shared" si="31"/>
        <v>45688</v>
      </c>
      <c r="Q202" s="43" t="str">
        <f t="shared" si="32"/>
        <v>Jan-25</v>
      </c>
      <c r="R202" s="43">
        <f t="shared" si="33"/>
        <v>2</v>
      </c>
      <c r="S202" s="43">
        <f t="shared" si="34"/>
        <v>32</v>
      </c>
      <c r="T202" s="43">
        <f t="shared" ca="1" si="35"/>
        <v>632</v>
      </c>
      <c r="U202" s="43" t="str">
        <f t="shared" si="36"/>
        <v>DW</v>
      </c>
      <c r="V202" s="43" t="str">
        <f t="shared" si="37"/>
        <v>SMA</v>
      </c>
      <c r="W202" s="43" t="str">
        <f t="shared" si="38"/>
        <v>C-2501-188</v>
      </c>
      <c r="X202" s="43" t="str">
        <f>IF(COUNTIF($D$2:D202,D202)&gt;1,"Repeat","First")</f>
        <v>Repeat</v>
      </c>
      <c r="Y202" s="43" t="str">
        <f>IF(AND(K202=Filter!$B$4,N202&gt;=Filter!$B$5),MAX(Y$1:Y201)+1,"")</f>
        <v/>
      </c>
      <c r="Z202" s="43" t="str">
        <f t="shared" si="39"/>
        <v>2025-01</v>
      </c>
    </row>
    <row r="203" spans="1:26" x14ac:dyDescent="0.2">
      <c r="A203" s="43" t="s">
        <v>448</v>
      </c>
      <c r="B203" s="44">
        <v>45688</v>
      </c>
      <c r="C203" s="43" t="s">
        <v>170</v>
      </c>
      <c r="D203" s="43" t="s">
        <v>171</v>
      </c>
      <c r="E203" s="43" t="s">
        <v>185</v>
      </c>
      <c r="F203" s="43" t="s">
        <v>93</v>
      </c>
      <c r="G203" s="43" t="s">
        <v>67</v>
      </c>
      <c r="H203" s="43">
        <v>4</v>
      </c>
      <c r="I203" s="45">
        <v>699.99</v>
      </c>
      <c r="J203" s="43" t="s">
        <v>73</v>
      </c>
      <c r="K203" s="43" t="s">
        <v>81</v>
      </c>
      <c r="L203" s="43" t="s">
        <v>144</v>
      </c>
      <c r="M203" s="44">
        <v>44692</v>
      </c>
      <c r="N203" s="45">
        <v>2799.96</v>
      </c>
      <c r="O203" s="43" t="str">
        <f t="shared" si="30"/>
        <v>OK</v>
      </c>
      <c r="P203" s="44">
        <f t="shared" si="31"/>
        <v>45688</v>
      </c>
      <c r="Q203" s="43" t="str">
        <f t="shared" si="32"/>
        <v>Jan-25</v>
      </c>
      <c r="R203" s="43">
        <f t="shared" si="33"/>
        <v>2</v>
      </c>
      <c r="S203" s="43">
        <f t="shared" si="34"/>
        <v>32</v>
      </c>
      <c r="T203" s="43">
        <f t="shared" ca="1" si="35"/>
        <v>630</v>
      </c>
      <c r="U203" s="43" t="str">
        <f t="shared" si="36"/>
        <v>KH</v>
      </c>
      <c r="V203" s="43" t="str">
        <f t="shared" si="37"/>
        <v>SMA</v>
      </c>
      <c r="W203" s="43" t="str">
        <f t="shared" si="38"/>
        <v>W-2501-010</v>
      </c>
      <c r="X203" s="43" t="str">
        <f>IF(COUNTIF($D$2:D203,D203)&gt;1,"Repeat","First")</f>
        <v>Repeat</v>
      </c>
      <c r="Y203" s="43">
        <f>IF(AND(K203=Filter!$B$4,N203&gt;=Filter!$B$5),MAX(Y$1:Y202)+1,"")</f>
        <v>11</v>
      </c>
      <c r="Z203" s="43" t="str">
        <f t="shared" si="39"/>
        <v>2025-01</v>
      </c>
    </row>
    <row r="204" spans="1:26" x14ac:dyDescent="0.2">
      <c r="A204" s="43" t="s">
        <v>449</v>
      </c>
      <c r="B204" s="44">
        <v>45688</v>
      </c>
      <c r="C204" s="43" t="s">
        <v>224</v>
      </c>
      <c r="D204" s="43" t="s">
        <v>225</v>
      </c>
      <c r="E204" s="43" t="s">
        <v>219</v>
      </c>
      <c r="F204" s="43" t="s">
        <v>85</v>
      </c>
      <c r="G204" s="43" t="s">
        <v>67</v>
      </c>
      <c r="H204" s="43">
        <v>2</v>
      </c>
      <c r="I204" s="45">
        <v>89.99</v>
      </c>
      <c r="J204" s="43" t="s">
        <v>73</v>
      </c>
      <c r="K204" s="43" t="s">
        <v>76</v>
      </c>
      <c r="L204" s="43" t="s">
        <v>140</v>
      </c>
      <c r="M204" s="44">
        <v>44777</v>
      </c>
      <c r="N204" s="45">
        <v>179.98</v>
      </c>
      <c r="O204" s="43" t="str">
        <f t="shared" si="30"/>
        <v>OK</v>
      </c>
      <c r="P204" s="44">
        <f t="shared" si="31"/>
        <v>45688</v>
      </c>
      <c r="Q204" s="43" t="str">
        <f t="shared" si="32"/>
        <v>Jan-25</v>
      </c>
      <c r="R204" s="43">
        <f t="shared" si="33"/>
        <v>2</v>
      </c>
      <c r="S204" s="43">
        <f t="shared" si="34"/>
        <v>29</v>
      </c>
      <c r="T204" s="43">
        <f t="shared" ca="1" si="35"/>
        <v>630</v>
      </c>
      <c r="U204" s="43" t="str">
        <f t="shared" si="36"/>
        <v>EM</v>
      </c>
      <c r="V204" s="43" t="str">
        <f t="shared" si="37"/>
        <v>KEY</v>
      </c>
      <c r="W204" s="43" t="str">
        <f t="shared" si="38"/>
        <v>S-2501-069</v>
      </c>
      <c r="X204" s="43" t="str">
        <f>IF(COUNTIF($D$2:D204,D204)&gt;1,"Repeat","First")</f>
        <v>Repeat</v>
      </c>
      <c r="Y204" s="43" t="str">
        <f>IF(AND(K204=Filter!$B$4,N204&gt;=Filter!$B$5),MAX(Y$1:Y203)+1,"")</f>
        <v/>
      </c>
      <c r="Z204" s="43" t="str">
        <f t="shared" si="39"/>
        <v>2025-01</v>
      </c>
    </row>
    <row r="205" spans="1:26" x14ac:dyDescent="0.2">
      <c r="A205" s="43" t="s">
        <v>450</v>
      </c>
      <c r="B205" s="44">
        <v>45688</v>
      </c>
      <c r="C205" s="43" t="s">
        <v>154</v>
      </c>
      <c r="D205" s="43" t="s">
        <v>155</v>
      </c>
      <c r="E205" s="43" t="s">
        <v>219</v>
      </c>
      <c r="F205" s="43" t="s">
        <v>85</v>
      </c>
      <c r="G205" s="43" t="s">
        <v>67</v>
      </c>
      <c r="H205" s="43">
        <v>3</v>
      </c>
      <c r="I205" s="45">
        <v>89.99</v>
      </c>
      <c r="J205" s="43" t="s">
        <v>73</v>
      </c>
      <c r="K205" s="43" t="s">
        <v>76</v>
      </c>
      <c r="L205" s="43" t="s">
        <v>144</v>
      </c>
      <c r="M205" s="44">
        <v>45307</v>
      </c>
      <c r="N205" s="45">
        <v>269.97000000000003</v>
      </c>
      <c r="O205" s="43" t="str">
        <f t="shared" si="30"/>
        <v>OK</v>
      </c>
      <c r="P205" s="44">
        <f t="shared" si="31"/>
        <v>45688</v>
      </c>
      <c r="Q205" s="43" t="str">
        <f t="shared" si="32"/>
        <v>Jan-25</v>
      </c>
      <c r="R205" s="43">
        <f t="shared" si="33"/>
        <v>1</v>
      </c>
      <c r="S205" s="43">
        <f t="shared" si="34"/>
        <v>12</v>
      </c>
      <c r="T205" s="43">
        <f t="shared" ca="1" si="35"/>
        <v>630</v>
      </c>
      <c r="U205" s="43" t="str">
        <f t="shared" si="36"/>
        <v>MB</v>
      </c>
      <c r="V205" s="43" t="str">
        <f t="shared" si="37"/>
        <v>KEY</v>
      </c>
      <c r="W205" s="43" t="str">
        <f t="shared" si="38"/>
        <v>S-2501-166</v>
      </c>
      <c r="X205" s="43" t="str">
        <f>IF(COUNTIF($D$2:D205,D205)&gt;1,"Repeat","First")</f>
        <v>Repeat</v>
      </c>
      <c r="Y205" s="43" t="str">
        <f>IF(AND(K205=Filter!$B$4,N205&gt;=Filter!$B$5),MAX(Y$1:Y204)+1,"")</f>
        <v/>
      </c>
      <c r="Z205" s="43" t="str">
        <f t="shared" si="39"/>
        <v>2025-01</v>
      </c>
    </row>
    <row r="206" spans="1:26" x14ac:dyDescent="0.2">
      <c r="A206" s="43" t="s">
        <v>451</v>
      </c>
      <c r="B206" s="44">
        <v>45692</v>
      </c>
      <c r="C206" s="43" t="s">
        <v>425</v>
      </c>
      <c r="D206" s="43" t="s">
        <v>426</v>
      </c>
      <c r="E206" s="43" t="s">
        <v>148</v>
      </c>
      <c r="F206" s="43" t="s">
        <v>65</v>
      </c>
      <c r="G206" s="43" t="s">
        <v>62</v>
      </c>
      <c r="H206" s="43">
        <v>1</v>
      </c>
      <c r="I206" s="45">
        <v>59.99</v>
      </c>
      <c r="J206" s="43" t="s">
        <v>73</v>
      </c>
      <c r="K206" s="43" t="s">
        <v>61</v>
      </c>
      <c r="L206" s="43" t="s">
        <v>149</v>
      </c>
      <c r="M206" s="44">
        <v>45045</v>
      </c>
      <c r="N206" s="45">
        <v>59.99</v>
      </c>
      <c r="O206" s="43" t="str">
        <f t="shared" si="30"/>
        <v>OK</v>
      </c>
      <c r="P206" s="44">
        <f t="shared" si="31"/>
        <v>45716</v>
      </c>
      <c r="Q206" s="43" t="str">
        <f t="shared" si="32"/>
        <v>Feb-25</v>
      </c>
      <c r="R206" s="43">
        <f t="shared" si="33"/>
        <v>1</v>
      </c>
      <c r="S206" s="43">
        <f t="shared" si="34"/>
        <v>21</v>
      </c>
      <c r="T206" s="43">
        <f t="shared" ca="1" si="35"/>
        <v>626</v>
      </c>
      <c r="U206" s="43" t="str">
        <f t="shared" si="36"/>
        <v>AE</v>
      </c>
      <c r="V206" s="43" t="str">
        <f t="shared" si="37"/>
        <v>BLE</v>
      </c>
      <c r="W206" s="43" t="str">
        <f t="shared" si="38"/>
        <v>C-2502-219</v>
      </c>
      <c r="X206" s="43" t="str">
        <f>IF(COUNTIF($D$2:D206,D206)&gt;1,"Repeat","First")</f>
        <v>Repeat</v>
      </c>
      <c r="Y206" s="43" t="str">
        <f>IF(AND(K206=Filter!$B$4,N206&gt;=Filter!$B$5),MAX(Y$1:Y205)+1,"")</f>
        <v/>
      </c>
      <c r="Z206" s="43" t="str">
        <f t="shared" si="39"/>
        <v>2025-02</v>
      </c>
    </row>
    <row r="207" spans="1:26" x14ac:dyDescent="0.2">
      <c r="A207" s="43" t="s">
        <v>452</v>
      </c>
      <c r="B207" s="44">
        <v>45695</v>
      </c>
      <c r="C207" s="43" t="s">
        <v>346</v>
      </c>
      <c r="D207" s="43" t="s">
        <v>347</v>
      </c>
      <c r="E207" s="43" t="s">
        <v>156</v>
      </c>
      <c r="F207" s="43" t="s">
        <v>70</v>
      </c>
      <c r="G207" s="43" t="s">
        <v>72</v>
      </c>
      <c r="H207" s="43">
        <v>3</v>
      </c>
      <c r="I207" s="45">
        <v>149.99</v>
      </c>
      <c r="J207" s="43" t="s">
        <v>73</v>
      </c>
      <c r="K207" s="43" t="s">
        <v>71</v>
      </c>
      <c r="L207" s="43" t="s">
        <v>144</v>
      </c>
      <c r="M207" s="44">
        <v>44564</v>
      </c>
      <c r="N207" s="45">
        <v>449.97</v>
      </c>
      <c r="O207" s="43" t="str">
        <f t="shared" si="30"/>
        <v>OK</v>
      </c>
      <c r="P207" s="44">
        <f t="shared" si="31"/>
        <v>45716</v>
      </c>
      <c r="Q207" s="43" t="str">
        <f t="shared" si="32"/>
        <v>Feb-25</v>
      </c>
      <c r="R207" s="43">
        <f t="shared" si="33"/>
        <v>3</v>
      </c>
      <c r="S207" s="43">
        <f t="shared" si="34"/>
        <v>37</v>
      </c>
      <c r="T207" s="43">
        <f t="shared" ca="1" si="35"/>
        <v>623</v>
      </c>
      <c r="U207" s="43" t="str">
        <f t="shared" si="36"/>
        <v>RB</v>
      </c>
      <c r="V207" s="43" t="str">
        <f t="shared" si="37"/>
        <v>BOO</v>
      </c>
      <c r="W207" s="43" t="str">
        <f t="shared" si="38"/>
        <v>N-2502-024</v>
      </c>
      <c r="X207" s="43" t="str">
        <f>IF(COUNTIF($D$2:D207,D207)&gt;1,"Repeat","First")</f>
        <v>Repeat</v>
      </c>
      <c r="Y207" s="43" t="str">
        <f>IF(AND(K207=Filter!$B$4,N207&gt;=Filter!$B$5),MAX(Y$1:Y206)+1,"")</f>
        <v/>
      </c>
      <c r="Z207" s="43" t="str">
        <f t="shared" si="39"/>
        <v>2025-02</v>
      </c>
    </row>
    <row r="208" spans="1:26" x14ac:dyDescent="0.2">
      <c r="A208" s="43" t="s">
        <v>453</v>
      </c>
      <c r="B208" s="44">
        <v>45695</v>
      </c>
      <c r="C208" s="43" t="s">
        <v>197</v>
      </c>
      <c r="D208" s="43" t="s">
        <v>198</v>
      </c>
      <c r="E208" s="43" t="s">
        <v>209</v>
      </c>
      <c r="F208" s="43" t="s">
        <v>80</v>
      </c>
      <c r="G208" s="43" t="s">
        <v>72</v>
      </c>
      <c r="H208" s="43">
        <v>5</v>
      </c>
      <c r="I208" s="45">
        <v>299.99</v>
      </c>
      <c r="J208" s="43" t="s">
        <v>68</v>
      </c>
      <c r="K208" s="43" t="s">
        <v>76</v>
      </c>
      <c r="L208" s="43" t="s">
        <v>140</v>
      </c>
      <c r="M208" s="44">
        <v>44959</v>
      </c>
      <c r="N208" s="45">
        <v>1499.95</v>
      </c>
      <c r="O208" s="43" t="str">
        <f t="shared" si="30"/>
        <v>OK</v>
      </c>
      <c r="P208" s="44">
        <f t="shared" si="31"/>
        <v>45716</v>
      </c>
      <c r="Q208" s="43" t="str">
        <f t="shared" si="32"/>
        <v>Feb-25</v>
      </c>
      <c r="R208" s="43">
        <f t="shared" si="33"/>
        <v>2</v>
      </c>
      <c r="S208" s="43">
        <f t="shared" si="34"/>
        <v>24</v>
      </c>
      <c r="T208" s="43">
        <f t="shared" ca="1" si="35"/>
        <v>623</v>
      </c>
      <c r="U208" s="43" t="str">
        <f t="shared" si="36"/>
        <v>VS</v>
      </c>
      <c r="V208" s="43" t="str">
        <f t="shared" si="37"/>
        <v>DES</v>
      </c>
      <c r="W208" s="43" t="str">
        <f t="shared" si="38"/>
        <v>S-2502-105</v>
      </c>
      <c r="X208" s="43" t="str">
        <f>IF(COUNTIF($D$2:D208,D208)&gt;1,"Repeat","First")</f>
        <v>Repeat</v>
      </c>
      <c r="Y208" s="43" t="str">
        <f>IF(AND(K208=Filter!$B$4,N208&gt;=Filter!$B$5),MAX(Y$1:Y207)+1,"")</f>
        <v/>
      </c>
      <c r="Z208" s="43" t="str">
        <f t="shared" si="39"/>
        <v>2025-02</v>
      </c>
    </row>
    <row r="209" spans="1:26" x14ac:dyDescent="0.2">
      <c r="A209" s="43" t="s">
        <v>454</v>
      </c>
      <c r="B209" s="44">
        <v>45696</v>
      </c>
      <c r="C209" s="43" t="s">
        <v>250</v>
      </c>
      <c r="D209" s="43" t="s">
        <v>251</v>
      </c>
      <c r="E209" s="43" t="s">
        <v>148</v>
      </c>
      <c r="F209" s="43" t="s">
        <v>65</v>
      </c>
      <c r="G209" s="43" t="s">
        <v>62</v>
      </c>
      <c r="H209" s="43">
        <v>5</v>
      </c>
      <c r="I209" s="45">
        <v>59.99</v>
      </c>
      <c r="J209" s="43" t="s">
        <v>73</v>
      </c>
      <c r="K209" s="43" t="s">
        <v>61</v>
      </c>
      <c r="L209" s="43" t="s">
        <v>149</v>
      </c>
      <c r="M209" s="44">
        <v>45177</v>
      </c>
      <c r="N209" s="45">
        <v>299.95</v>
      </c>
      <c r="O209" s="43" t="str">
        <f t="shared" si="30"/>
        <v>OK</v>
      </c>
      <c r="P209" s="44">
        <f t="shared" si="31"/>
        <v>45716</v>
      </c>
      <c r="Q209" s="43" t="str">
        <f t="shared" si="32"/>
        <v>Feb-25</v>
      </c>
      <c r="R209" s="43">
        <f t="shared" si="33"/>
        <v>1</v>
      </c>
      <c r="S209" s="43">
        <f t="shared" si="34"/>
        <v>17</v>
      </c>
      <c r="T209" s="43">
        <f t="shared" ca="1" si="35"/>
        <v>622</v>
      </c>
      <c r="U209" s="43" t="str">
        <f t="shared" si="36"/>
        <v>SB</v>
      </c>
      <c r="V209" s="43" t="str">
        <f t="shared" si="37"/>
        <v>BLE</v>
      </c>
      <c r="W209" s="43" t="str">
        <f t="shared" si="38"/>
        <v>C-2502-011</v>
      </c>
      <c r="X209" s="43" t="str">
        <f>IF(COUNTIF($D$2:D209,D209)&gt;1,"Repeat","First")</f>
        <v>Repeat</v>
      </c>
      <c r="Y209" s="43" t="str">
        <f>IF(AND(K209=Filter!$B$4,N209&gt;=Filter!$B$5),MAX(Y$1:Y208)+1,"")</f>
        <v/>
      </c>
      <c r="Z209" s="43" t="str">
        <f t="shared" si="39"/>
        <v>2025-02</v>
      </c>
    </row>
    <row r="210" spans="1:26" x14ac:dyDescent="0.2">
      <c r="A210" s="43" t="s">
        <v>455</v>
      </c>
      <c r="B210" s="44">
        <v>45701</v>
      </c>
      <c r="C210" s="43" t="s">
        <v>211</v>
      </c>
      <c r="D210" s="43" t="s">
        <v>212</v>
      </c>
      <c r="E210" s="43" t="s">
        <v>217</v>
      </c>
      <c r="F210" s="43" t="s">
        <v>75</v>
      </c>
      <c r="G210" s="43" t="s">
        <v>62</v>
      </c>
      <c r="H210" s="43">
        <v>3</v>
      </c>
      <c r="I210" s="45">
        <v>79.989999999999995</v>
      </c>
      <c r="J210" s="43" t="s">
        <v>63</v>
      </c>
      <c r="K210" s="43" t="s">
        <v>66</v>
      </c>
      <c r="L210" s="43" t="s">
        <v>144</v>
      </c>
      <c r="M210" s="44">
        <v>44436</v>
      </c>
      <c r="N210" s="45">
        <v>239.97</v>
      </c>
      <c r="O210" s="43" t="str">
        <f t="shared" si="30"/>
        <v>OK</v>
      </c>
      <c r="P210" s="44">
        <f t="shared" si="31"/>
        <v>45716</v>
      </c>
      <c r="Q210" s="43" t="str">
        <f t="shared" si="32"/>
        <v>Feb-25</v>
      </c>
      <c r="R210" s="43">
        <f t="shared" si="33"/>
        <v>3</v>
      </c>
      <c r="S210" s="43">
        <f t="shared" si="34"/>
        <v>41</v>
      </c>
      <c r="T210" s="43">
        <f t="shared" ca="1" si="35"/>
        <v>617</v>
      </c>
      <c r="U210" s="43" t="str">
        <f t="shared" si="36"/>
        <v>NC</v>
      </c>
      <c r="V210" s="43" t="str">
        <f t="shared" si="37"/>
        <v>COF</v>
      </c>
      <c r="W210" s="43" t="str">
        <f t="shared" si="38"/>
        <v>E-2502-187</v>
      </c>
      <c r="X210" s="43" t="str">
        <f>IF(COUNTIF($D$2:D210,D210)&gt;1,"Repeat","First")</f>
        <v>Repeat</v>
      </c>
      <c r="Y210" s="43" t="str">
        <f>IF(AND(K210=Filter!$B$4,N210&gt;=Filter!$B$5),MAX(Y$1:Y209)+1,"")</f>
        <v/>
      </c>
      <c r="Z210" s="43" t="str">
        <f t="shared" si="39"/>
        <v>2025-02</v>
      </c>
    </row>
    <row r="211" spans="1:26" x14ac:dyDescent="0.2">
      <c r="A211" s="43" t="s">
        <v>456</v>
      </c>
      <c r="B211" s="44">
        <v>45704</v>
      </c>
      <c r="C211" s="43" t="s">
        <v>146</v>
      </c>
      <c r="D211" s="43" t="s">
        <v>147</v>
      </c>
      <c r="E211" s="43" t="s">
        <v>227</v>
      </c>
      <c r="F211" s="43" t="s">
        <v>91</v>
      </c>
      <c r="G211" s="43" t="s">
        <v>72</v>
      </c>
      <c r="H211" s="43">
        <v>3</v>
      </c>
      <c r="I211" s="45">
        <v>199.99</v>
      </c>
      <c r="J211" s="43" t="s">
        <v>63</v>
      </c>
      <c r="K211" s="43" t="s">
        <v>61</v>
      </c>
      <c r="L211" s="43" t="s">
        <v>140</v>
      </c>
      <c r="M211" s="44">
        <v>44735</v>
      </c>
      <c r="N211" s="45">
        <v>599.97</v>
      </c>
      <c r="O211" s="43" t="str">
        <f t="shared" si="30"/>
        <v>OK</v>
      </c>
      <c r="P211" s="44">
        <f t="shared" si="31"/>
        <v>45716</v>
      </c>
      <c r="Q211" s="43" t="str">
        <f t="shared" si="32"/>
        <v>Feb-25</v>
      </c>
      <c r="R211" s="43">
        <f t="shared" si="33"/>
        <v>2</v>
      </c>
      <c r="S211" s="43">
        <f t="shared" si="34"/>
        <v>31</v>
      </c>
      <c r="T211" s="43">
        <f t="shared" ca="1" si="35"/>
        <v>614</v>
      </c>
      <c r="U211" s="43" t="str">
        <f t="shared" si="36"/>
        <v>KS</v>
      </c>
      <c r="V211" s="43" t="str">
        <f t="shared" si="37"/>
        <v>OFF</v>
      </c>
      <c r="W211" s="43" t="str">
        <f t="shared" si="38"/>
        <v>C-2502-089</v>
      </c>
      <c r="X211" s="43" t="str">
        <f>IF(COUNTIF($D$2:D211,D211)&gt;1,"Repeat","First")</f>
        <v>Repeat</v>
      </c>
      <c r="Y211" s="43" t="str">
        <f>IF(AND(K211=Filter!$B$4,N211&gt;=Filter!$B$5),MAX(Y$1:Y210)+1,"")</f>
        <v/>
      </c>
      <c r="Z211" s="43" t="str">
        <f t="shared" si="39"/>
        <v>2025-02</v>
      </c>
    </row>
    <row r="212" spans="1:26" x14ac:dyDescent="0.2">
      <c r="A212" s="43" t="s">
        <v>457</v>
      </c>
      <c r="B212" s="44">
        <v>45704</v>
      </c>
      <c r="C212" s="43" t="s">
        <v>137</v>
      </c>
      <c r="D212" s="43" t="s">
        <v>138</v>
      </c>
      <c r="E212" s="43" t="s">
        <v>219</v>
      </c>
      <c r="F212" s="43" t="s">
        <v>85</v>
      </c>
      <c r="G212" s="43" t="s">
        <v>67</v>
      </c>
      <c r="H212" s="43">
        <v>2</v>
      </c>
      <c r="I212" s="45">
        <v>89.99</v>
      </c>
      <c r="J212" s="43" t="s">
        <v>78</v>
      </c>
      <c r="K212" s="43" t="s">
        <v>61</v>
      </c>
      <c r="L212" s="43" t="s">
        <v>140</v>
      </c>
      <c r="M212" s="44">
        <v>45257</v>
      </c>
      <c r="N212" s="45">
        <v>179.98</v>
      </c>
      <c r="O212" s="43" t="str">
        <f t="shared" si="30"/>
        <v>OK</v>
      </c>
      <c r="P212" s="44">
        <f t="shared" si="31"/>
        <v>45716</v>
      </c>
      <c r="Q212" s="43" t="str">
        <f t="shared" si="32"/>
        <v>Feb-25</v>
      </c>
      <c r="R212" s="43">
        <f t="shared" si="33"/>
        <v>1</v>
      </c>
      <c r="S212" s="43">
        <f t="shared" si="34"/>
        <v>14</v>
      </c>
      <c r="T212" s="43">
        <f t="shared" ca="1" si="35"/>
        <v>614</v>
      </c>
      <c r="U212" s="43" t="str">
        <f t="shared" si="36"/>
        <v>PB</v>
      </c>
      <c r="V212" s="43" t="str">
        <f t="shared" si="37"/>
        <v>KEY</v>
      </c>
      <c r="W212" s="43" t="str">
        <f t="shared" si="38"/>
        <v>C-2502-196</v>
      </c>
      <c r="X212" s="43" t="str">
        <f>IF(COUNTIF($D$2:D212,D212)&gt;1,"Repeat","First")</f>
        <v>Repeat</v>
      </c>
      <c r="Y212" s="43" t="str">
        <f>IF(AND(K212=Filter!$B$4,N212&gt;=Filter!$B$5),MAX(Y$1:Y211)+1,"")</f>
        <v/>
      </c>
      <c r="Z212" s="43" t="str">
        <f t="shared" si="39"/>
        <v>2025-02</v>
      </c>
    </row>
    <row r="213" spans="1:26" x14ac:dyDescent="0.2">
      <c r="A213" s="43" t="s">
        <v>458</v>
      </c>
      <c r="B213" s="44">
        <v>45705</v>
      </c>
      <c r="C213" s="43" t="s">
        <v>359</v>
      </c>
      <c r="D213" s="43" t="s">
        <v>360</v>
      </c>
      <c r="E213" s="43" t="s">
        <v>156</v>
      </c>
      <c r="F213" s="43" t="s">
        <v>70</v>
      </c>
      <c r="G213" s="43" t="s">
        <v>72</v>
      </c>
      <c r="H213" s="43">
        <v>2</v>
      </c>
      <c r="I213" s="45">
        <v>149.99</v>
      </c>
      <c r="J213" s="43" t="s">
        <v>63</v>
      </c>
      <c r="K213" s="43" t="s">
        <v>76</v>
      </c>
      <c r="L213" s="43" t="s">
        <v>144</v>
      </c>
      <c r="M213" s="44">
        <v>44728</v>
      </c>
      <c r="N213" s="45">
        <v>299.98</v>
      </c>
      <c r="O213" s="43" t="str">
        <f t="shared" si="30"/>
        <v>OK</v>
      </c>
      <c r="P213" s="44">
        <f t="shared" si="31"/>
        <v>45716</v>
      </c>
      <c r="Q213" s="43" t="str">
        <f t="shared" si="32"/>
        <v>Feb-25</v>
      </c>
      <c r="R213" s="43">
        <f t="shared" si="33"/>
        <v>2</v>
      </c>
      <c r="S213" s="43">
        <f t="shared" si="34"/>
        <v>32</v>
      </c>
      <c r="T213" s="43">
        <f t="shared" ca="1" si="35"/>
        <v>613</v>
      </c>
      <c r="U213" s="43" t="str">
        <f t="shared" si="36"/>
        <v>RL</v>
      </c>
      <c r="V213" s="43" t="str">
        <f t="shared" si="37"/>
        <v>BOO</v>
      </c>
      <c r="W213" s="43" t="str">
        <f t="shared" si="38"/>
        <v>S-2502-118</v>
      </c>
      <c r="X213" s="43" t="str">
        <f>IF(COUNTIF($D$2:D213,D213)&gt;1,"Repeat","First")</f>
        <v>Repeat</v>
      </c>
      <c r="Y213" s="43" t="str">
        <f>IF(AND(K213=Filter!$B$4,N213&gt;=Filter!$B$5),MAX(Y$1:Y212)+1,"")</f>
        <v/>
      </c>
      <c r="Z213" s="43" t="str">
        <f t="shared" si="39"/>
        <v>2025-02</v>
      </c>
    </row>
    <row r="214" spans="1:26" x14ac:dyDescent="0.2">
      <c r="A214" s="43" t="s">
        <v>459</v>
      </c>
      <c r="B214" s="44">
        <v>45707</v>
      </c>
      <c r="C214" s="43" t="s">
        <v>224</v>
      </c>
      <c r="D214" s="43" t="s">
        <v>225</v>
      </c>
      <c r="E214" s="43" t="s">
        <v>185</v>
      </c>
      <c r="F214" s="43" t="s">
        <v>93</v>
      </c>
      <c r="G214" s="43" t="s">
        <v>67</v>
      </c>
      <c r="H214" s="43">
        <v>5</v>
      </c>
      <c r="I214" s="45">
        <v>699.99</v>
      </c>
      <c r="J214" s="43" t="s">
        <v>78</v>
      </c>
      <c r="K214" s="43" t="s">
        <v>76</v>
      </c>
      <c r="L214" s="43" t="s">
        <v>144</v>
      </c>
      <c r="M214" s="44">
        <v>45352</v>
      </c>
      <c r="N214" s="45">
        <v>3499.95</v>
      </c>
      <c r="O214" s="43" t="str">
        <f t="shared" si="30"/>
        <v>OK</v>
      </c>
      <c r="P214" s="44">
        <f t="shared" si="31"/>
        <v>45716</v>
      </c>
      <c r="Q214" s="43" t="str">
        <f t="shared" si="32"/>
        <v>Feb-25</v>
      </c>
      <c r="R214" s="43">
        <f t="shared" si="33"/>
        <v>0</v>
      </c>
      <c r="S214" s="43">
        <f t="shared" si="34"/>
        <v>11</v>
      </c>
      <c r="T214" s="43">
        <f t="shared" ca="1" si="35"/>
        <v>611</v>
      </c>
      <c r="U214" s="43" t="str">
        <f t="shared" si="36"/>
        <v>EM</v>
      </c>
      <c r="V214" s="43" t="str">
        <f t="shared" si="37"/>
        <v>SMA</v>
      </c>
      <c r="W214" s="43" t="str">
        <f t="shared" si="38"/>
        <v>S-2502-179</v>
      </c>
      <c r="X214" s="43" t="str">
        <f>IF(COUNTIF($D$2:D214,D214)&gt;1,"Repeat","First")</f>
        <v>Repeat</v>
      </c>
      <c r="Y214" s="43" t="str">
        <f>IF(AND(K214=Filter!$B$4,N214&gt;=Filter!$B$5),MAX(Y$1:Y213)+1,"")</f>
        <v/>
      </c>
      <c r="Z214" s="43" t="str">
        <f t="shared" si="39"/>
        <v>2025-02</v>
      </c>
    </row>
    <row r="215" spans="1:26" x14ac:dyDescent="0.2">
      <c r="A215" s="43" t="s">
        <v>460</v>
      </c>
      <c r="B215" s="44">
        <v>45707</v>
      </c>
      <c r="C215" s="43" t="s">
        <v>154</v>
      </c>
      <c r="D215" s="43" t="s">
        <v>155</v>
      </c>
      <c r="E215" s="43" t="s">
        <v>156</v>
      </c>
      <c r="F215" s="43" t="s">
        <v>70</v>
      </c>
      <c r="G215" s="43" t="s">
        <v>72</v>
      </c>
      <c r="H215" s="43">
        <v>3</v>
      </c>
      <c r="I215" s="45">
        <v>149.99</v>
      </c>
      <c r="J215" s="43" t="s">
        <v>78</v>
      </c>
      <c r="K215" s="43" t="s">
        <v>61</v>
      </c>
      <c r="L215" s="43" t="s">
        <v>149</v>
      </c>
      <c r="M215" s="44">
        <v>44633</v>
      </c>
      <c r="N215" s="45">
        <v>449.97</v>
      </c>
      <c r="O215" s="43" t="str">
        <f t="shared" si="30"/>
        <v>OK</v>
      </c>
      <c r="P215" s="44">
        <f t="shared" si="31"/>
        <v>45716</v>
      </c>
      <c r="Q215" s="43" t="str">
        <f t="shared" si="32"/>
        <v>Feb-25</v>
      </c>
      <c r="R215" s="43">
        <f t="shared" si="33"/>
        <v>2</v>
      </c>
      <c r="S215" s="43">
        <f t="shared" si="34"/>
        <v>35</v>
      </c>
      <c r="T215" s="43">
        <f t="shared" ca="1" si="35"/>
        <v>611</v>
      </c>
      <c r="U215" s="43" t="str">
        <f t="shared" si="36"/>
        <v>MB</v>
      </c>
      <c r="V215" s="43" t="str">
        <f t="shared" si="37"/>
        <v>BOO</v>
      </c>
      <c r="W215" s="43" t="str">
        <f t="shared" si="38"/>
        <v>C-2502-168</v>
      </c>
      <c r="X215" s="43" t="str">
        <f>IF(COUNTIF($D$2:D215,D215)&gt;1,"Repeat","First")</f>
        <v>Repeat</v>
      </c>
      <c r="Y215" s="43" t="str">
        <f>IF(AND(K215=Filter!$B$4,N215&gt;=Filter!$B$5),MAX(Y$1:Y214)+1,"")</f>
        <v/>
      </c>
      <c r="Z215" s="43" t="str">
        <f t="shared" si="39"/>
        <v>2025-02</v>
      </c>
    </row>
    <row r="216" spans="1:26" x14ac:dyDescent="0.2">
      <c r="A216" s="43" t="s">
        <v>461</v>
      </c>
      <c r="B216" s="44">
        <v>45708</v>
      </c>
      <c r="C216" s="43" t="s">
        <v>200</v>
      </c>
      <c r="D216" s="43" t="s">
        <v>201</v>
      </c>
      <c r="E216" s="43" t="s">
        <v>168</v>
      </c>
      <c r="F216" s="43" t="s">
        <v>87</v>
      </c>
      <c r="G216" s="43" t="s">
        <v>67</v>
      </c>
      <c r="H216" s="43">
        <v>3</v>
      </c>
      <c r="I216" s="45">
        <v>899.99</v>
      </c>
      <c r="J216" s="43" t="s">
        <v>63</v>
      </c>
      <c r="K216" s="43" t="s">
        <v>66</v>
      </c>
      <c r="L216" s="43" t="s">
        <v>149</v>
      </c>
      <c r="M216" s="44">
        <v>44613</v>
      </c>
      <c r="N216" s="45">
        <v>2699.97</v>
      </c>
      <c r="O216" s="43" t="str">
        <f t="shared" si="30"/>
        <v>OK</v>
      </c>
      <c r="P216" s="44">
        <f t="shared" si="31"/>
        <v>45716</v>
      </c>
      <c r="Q216" s="43" t="str">
        <f t="shared" si="32"/>
        <v>Feb-25</v>
      </c>
      <c r="R216" s="43">
        <f t="shared" si="33"/>
        <v>2</v>
      </c>
      <c r="S216" s="43">
        <f t="shared" si="34"/>
        <v>35</v>
      </c>
      <c r="T216" s="43">
        <f t="shared" ca="1" si="35"/>
        <v>610</v>
      </c>
      <c r="U216" s="43" t="str">
        <f t="shared" si="36"/>
        <v>BY</v>
      </c>
      <c r="V216" s="43" t="str">
        <f t="shared" si="37"/>
        <v>LAP</v>
      </c>
      <c r="W216" s="43" t="str">
        <f t="shared" si="38"/>
        <v>E-2502-214</v>
      </c>
      <c r="X216" s="43" t="str">
        <f>IF(COUNTIF($D$2:D216,D216)&gt;1,"Repeat","First")</f>
        <v>Repeat</v>
      </c>
      <c r="Y216" s="43" t="str">
        <f>IF(AND(K216=Filter!$B$4,N216&gt;=Filter!$B$5),MAX(Y$1:Y215)+1,"")</f>
        <v/>
      </c>
      <c r="Z216" s="43" t="str">
        <f t="shared" si="39"/>
        <v>2025-02</v>
      </c>
    </row>
    <row r="217" spans="1:26" x14ac:dyDescent="0.2">
      <c r="A217" s="43" t="s">
        <v>462</v>
      </c>
      <c r="B217" s="44">
        <v>45708</v>
      </c>
      <c r="C217" s="43" t="s">
        <v>292</v>
      </c>
      <c r="D217" s="43" t="s">
        <v>293</v>
      </c>
      <c r="E217" s="43" t="s">
        <v>227</v>
      </c>
      <c r="F217" s="43" t="s">
        <v>91</v>
      </c>
      <c r="G217" s="43" t="s">
        <v>72</v>
      </c>
      <c r="H217" s="43">
        <v>3</v>
      </c>
      <c r="I217" s="45">
        <v>199.99</v>
      </c>
      <c r="J217" s="43" t="s">
        <v>63</v>
      </c>
      <c r="K217" s="43" t="s">
        <v>81</v>
      </c>
      <c r="L217" s="43" t="s">
        <v>144</v>
      </c>
      <c r="M217" s="44">
        <v>44823</v>
      </c>
      <c r="N217" s="45">
        <v>599.97</v>
      </c>
      <c r="O217" s="43" t="str">
        <f t="shared" si="30"/>
        <v>OK</v>
      </c>
      <c r="P217" s="44">
        <f t="shared" si="31"/>
        <v>45716</v>
      </c>
      <c r="Q217" s="43" t="str">
        <f t="shared" si="32"/>
        <v>Feb-25</v>
      </c>
      <c r="R217" s="43">
        <f t="shared" si="33"/>
        <v>2</v>
      </c>
      <c r="S217" s="43">
        <f t="shared" si="34"/>
        <v>29</v>
      </c>
      <c r="T217" s="43">
        <f t="shared" ca="1" si="35"/>
        <v>610</v>
      </c>
      <c r="U217" s="43" t="str">
        <f t="shared" si="36"/>
        <v>FT</v>
      </c>
      <c r="V217" s="43" t="str">
        <f t="shared" si="37"/>
        <v>OFF</v>
      </c>
      <c r="W217" s="43" t="str">
        <f t="shared" si="38"/>
        <v>W-2502-221</v>
      </c>
      <c r="X217" s="43" t="str">
        <f>IF(COUNTIF($D$2:D217,D217)&gt;1,"Repeat","First")</f>
        <v>Repeat</v>
      </c>
      <c r="Y217" s="43" t="str">
        <f>IF(AND(K217=Filter!$B$4,N217&gt;=Filter!$B$5),MAX(Y$1:Y216)+1,"")</f>
        <v/>
      </c>
      <c r="Z217" s="43" t="str">
        <f t="shared" si="39"/>
        <v>2025-02</v>
      </c>
    </row>
    <row r="218" spans="1:26" x14ac:dyDescent="0.2">
      <c r="A218" s="43" t="s">
        <v>463</v>
      </c>
      <c r="B218" s="44">
        <v>45710</v>
      </c>
      <c r="C218" s="43" t="s">
        <v>163</v>
      </c>
      <c r="D218" s="43" t="s">
        <v>164</v>
      </c>
      <c r="E218" s="43" t="s">
        <v>209</v>
      </c>
      <c r="F218" s="43" t="s">
        <v>80</v>
      </c>
      <c r="G218" s="43" t="s">
        <v>72</v>
      </c>
      <c r="H218" s="43">
        <v>5</v>
      </c>
      <c r="I218" s="45">
        <v>299.99</v>
      </c>
      <c r="J218" s="43" t="s">
        <v>63</v>
      </c>
      <c r="K218" s="43" t="s">
        <v>81</v>
      </c>
      <c r="L218" s="43" t="s">
        <v>149</v>
      </c>
      <c r="M218" s="44">
        <v>45142</v>
      </c>
      <c r="N218" s="45">
        <v>1499.95</v>
      </c>
      <c r="O218" s="43" t="str">
        <f t="shared" si="30"/>
        <v>OK</v>
      </c>
      <c r="P218" s="44">
        <f t="shared" si="31"/>
        <v>45716</v>
      </c>
      <c r="Q218" s="43" t="str">
        <f t="shared" si="32"/>
        <v>Feb-25</v>
      </c>
      <c r="R218" s="43">
        <f t="shared" si="33"/>
        <v>1</v>
      </c>
      <c r="S218" s="43">
        <f t="shared" si="34"/>
        <v>18</v>
      </c>
      <c r="T218" s="43">
        <f t="shared" ca="1" si="35"/>
        <v>608</v>
      </c>
      <c r="U218" s="43" t="str">
        <f t="shared" si="36"/>
        <v>CA</v>
      </c>
      <c r="V218" s="43" t="str">
        <f t="shared" si="37"/>
        <v>DES</v>
      </c>
      <c r="W218" s="43" t="str">
        <f t="shared" si="38"/>
        <v>W-2502-083</v>
      </c>
      <c r="X218" s="43" t="str">
        <f>IF(COUNTIF($D$2:D218,D218)&gt;1,"Repeat","First")</f>
        <v>Repeat</v>
      </c>
      <c r="Y218" s="43">
        <f>IF(AND(K218=Filter!$B$4,N218&gt;=Filter!$B$5),MAX(Y$1:Y217)+1,"")</f>
        <v>12</v>
      </c>
      <c r="Z218" s="43" t="str">
        <f t="shared" si="39"/>
        <v>2025-02</v>
      </c>
    </row>
    <row r="219" spans="1:26" x14ac:dyDescent="0.2">
      <c r="A219" s="43" t="s">
        <v>464</v>
      </c>
      <c r="B219" s="44">
        <v>45710</v>
      </c>
      <c r="C219" s="43" t="s">
        <v>250</v>
      </c>
      <c r="D219" s="43" t="s">
        <v>251</v>
      </c>
      <c r="E219" s="43" t="s">
        <v>185</v>
      </c>
      <c r="F219" s="43" t="s">
        <v>93</v>
      </c>
      <c r="G219" s="43" t="s">
        <v>67</v>
      </c>
      <c r="H219" s="43">
        <v>1</v>
      </c>
      <c r="I219" s="45">
        <v>699.99</v>
      </c>
      <c r="J219" s="43" t="s">
        <v>78</v>
      </c>
      <c r="K219" s="43" t="s">
        <v>81</v>
      </c>
      <c r="L219" s="43" t="s">
        <v>140</v>
      </c>
      <c r="M219" s="44">
        <v>44934</v>
      </c>
      <c r="N219" s="45">
        <v>699.99</v>
      </c>
      <c r="O219" s="43" t="str">
        <f t="shared" si="30"/>
        <v>OK</v>
      </c>
      <c r="P219" s="44">
        <f t="shared" si="31"/>
        <v>45716</v>
      </c>
      <c r="Q219" s="43" t="str">
        <f t="shared" si="32"/>
        <v>Feb-25</v>
      </c>
      <c r="R219" s="43">
        <f t="shared" si="33"/>
        <v>2</v>
      </c>
      <c r="S219" s="43">
        <f t="shared" si="34"/>
        <v>25</v>
      </c>
      <c r="T219" s="43">
        <f t="shared" ca="1" si="35"/>
        <v>608</v>
      </c>
      <c r="U219" s="43" t="str">
        <f t="shared" si="36"/>
        <v>SB</v>
      </c>
      <c r="V219" s="43" t="str">
        <f t="shared" si="37"/>
        <v>SMA</v>
      </c>
      <c r="W219" s="43" t="str">
        <f t="shared" si="38"/>
        <v>W-2502-151</v>
      </c>
      <c r="X219" s="43" t="str">
        <f>IF(COUNTIF($D$2:D219,D219)&gt;1,"Repeat","First")</f>
        <v>Repeat</v>
      </c>
      <c r="Y219" s="43" t="str">
        <f>IF(AND(K219=Filter!$B$4,N219&gt;=Filter!$B$5),MAX(Y$1:Y218)+1,"")</f>
        <v/>
      </c>
      <c r="Z219" s="43" t="str">
        <f t="shared" si="39"/>
        <v>2025-02</v>
      </c>
    </row>
    <row r="220" spans="1:26" x14ac:dyDescent="0.2">
      <c r="A220" s="43" t="s">
        <v>465</v>
      </c>
      <c r="B220" s="44">
        <v>45711</v>
      </c>
      <c r="C220" s="43" t="s">
        <v>346</v>
      </c>
      <c r="D220" s="43" t="s">
        <v>347</v>
      </c>
      <c r="E220" s="43" t="s">
        <v>185</v>
      </c>
      <c r="F220" s="43" t="s">
        <v>93</v>
      </c>
      <c r="G220" s="43" t="s">
        <v>67</v>
      </c>
      <c r="H220" s="43">
        <v>1</v>
      </c>
      <c r="I220" s="45">
        <v>699.99</v>
      </c>
      <c r="J220" s="43" t="s">
        <v>63</v>
      </c>
      <c r="K220" s="43" t="s">
        <v>71</v>
      </c>
      <c r="L220" s="43" t="s">
        <v>144</v>
      </c>
      <c r="M220" s="44">
        <v>44583</v>
      </c>
      <c r="N220" s="45">
        <v>699.99</v>
      </c>
      <c r="O220" s="43" t="str">
        <f t="shared" si="30"/>
        <v>OK</v>
      </c>
      <c r="P220" s="44">
        <f t="shared" si="31"/>
        <v>45716</v>
      </c>
      <c r="Q220" s="43" t="str">
        <f t="shared" si="32"/>
        <v>Feb-25</v>
      </c>
      <c r="R220" s="43">
        <f t="shared" si="33"/>
        <v>3</v>
      </c>
      <c r="S220" s="43">
        <f t="shared" si="34"/>
        <v>37</v>
      </c>
      <c r="T220" s="43">
        <f t="shared" ca="1" si="35"/>
        <v>607</v>
      </c>
      <c r="U220" s="43" t="str">
        <f t="shared" si="36"/>
        <v>RB</v>
      </c>
      <c r="V220" s="43" t="str">
        <f t="shared" si="37"/>
        <v>SMA</v>
      </c>
      <c r="W220" s="43" t="str">
        <f t="shared" si="38"/>
        <v>N-2502-047</v>
      </c>
      <c r="X220" s="43" t="str">
        <f>IF(COUNTIF($D$2:D220,D220)&gt;1,"Repeat","First")</f>
        <v>Repeat</v>
      </c>
      <c r="Y220" s="43" t="str">
        <f>IF(AND(K220=Filter!$B$4,N220&gt;=Filter!$B$5),MAX(Y$1:Y219)+1,"")</f>
        <v/>
      </c>
      <c r="Z220" s="43" t="str">
        <f t="shared" si="39"/>
        <v>2025-02</v>
      </c>
    </row>
    <row r="221" spans="1:26" x14ac:dyDescent="0.2">
      <c r="A221" s="43" t="s">
        <v>466</v>
      </c>
      <c r="B221" s="44">
        <v>45711</v>
      </c>
      <c r="C221" s="43" t="s">
        <v>425</v>
      </c>
      <c r="D221" s="43" t="s">
        <v>426</v>
      </c>
      <c r="E221" s="43" t="s">
        <v>156</v>
      </c>
      <c r="F221" s="43" t="s">
        <v>70</v>
      </c>
      <c r="G221" s="43" t="s">
        <v>72</v>
      </c>
      <c r="H221" s="43">
        <v>4</v>
      </c>
      <c r="I221" s="45">
        <v>149.99</v>
      </c>
      <c r="J221" s="43" t="s">
        <v>78</v>
      </c>
      <c r="K221" s="43" t="s">
        <v>71</v>
      </c>
      <c r="L221" s="43" t="s">
        <v>144</v>
      </c>
      <c r="M221" s="44">
        <v>44412</v>
      </c>
      <c r="N221" s="45">
        <v>599.96</v>
      </c>
      <c r="O221" s="43" t="str">
        <f t="shared" si="30"/>
        <v>OK</v>
      </c>
      <c r="P221" s="44">
        <f t="shared" si="31"/>
        <v>45716</v>
      </c>
      <c r="Q221" s="43" t="str">
        <f t="shared" si="32"/>
        <v>Feb-25</v>
      </c>
      <c r="R221" s="43">
        <f t="shared" si="33"/>
        <v>3</v>
      </c>
      <c r="S221" s="43">
        <f t="shared" si="34"/>
        <v>42</v>
      </c>
      <c r="T221" s="43">
        <f t="shared" ca="1" si="35"/>
        <v>607</v>
      </c>
      <c r="U221" s="43" t="str">
        <f t="shared" si="36"/>
        <v>AE</v>
      </c>
      <c r="V221" s="43" t="str">
        <f t="shared" si="37"/>
        <v>BOO</v>
      </c>
      <c r="W221" s="43" t="str">
        <f t="shared" si="38"/>
        <v>N-2502-200</v>
      </c>
      <c r="X221" s="43" t="str">
        <f>IF(COUNTIF($D$2:D221,D221)&gt;1,"Repeat","First")</f>
        <v>Repeat</v>
      </c>
      <c r="Y221" s="43" t="str">
        <f>IF(AND(K221=Filter!$B$4,N221&gt;=Filter!$B$5),MAX(Y$1:Y220)+1,"")</f>
        <v/>
      </c>
      <c r="Z221" s="43" t="str">
        <f t="shared" si="39"/>
        <v>2025-02</v>
      </c>
    </row>
    <row r="222" spans="1:26" x14ac:dyDescent="0.2">
      <c r="A222" s="43" t="s">
        <v>467</v>
      </c>
      <c r="B222" s="44">
        <v>45711</v>
      </c>
      <c r="C222" s="43" t="s">
        <v>311</v>
      </c>
      <c r="D222" s="43" t="s">
        <v>312</v>
      </c>
      <c r="E222" s="43" t="s">
        <v>219</v>
      </c>
      <c r="F222" s="43" t="s">
        <v>85</v>
      </c>
      <c r="G222" s="43" t="s">
        <v>67</v>
      </c>
      <c r="H222" s="43">
        <v>5</v>
      </c>
      <c r="I222" s="45">
        <v>89.99</v>
      </c>
      <c r="J222" s="43" t="s">
        <v>78</v>
      </c>
      <c r="K222" s="43" t="s">
        <v>81</v>
      </c>
      <c r="L222" s="43" t="s">
        <v>144</v>
      </c>
      <c r="M222" s="44">
        <v>45140</v>
      </c>
      <c r="N222" s="45">
        <v>449.95</v>
      </c>
      <c r="O222" s="43" t="str">
        <f t="shared" si="30"/>
        <v>OK</v>
      </c>
      <c r="P222" s="44">
        <f t="shared" si="31"/>
        <v>45716</v>
      </c>
      <c r="Q222" s="43" t="str">
        <f t="shared" si="32"/>
        <v>Feb-25</v>
      </c>
      <c r="R222" s="43">
        <f t="shared" si="33"/>
        <v>1</v>
      </c>
      <c r="S222" s="43">
        <f t="shared" si="34"/>
        <v>18</v>
      </c>
      <c r="T222" s="43">
        <f t="shared" ca="1" si="35"/>
        <v>607</v>
      </c>
      <c r="U222" s="43" t="str">
        <f t="shared" si="36"/>
        <v>EH</v>
      </c>
      <c r="V222" s="43" t="str">
        <f t="shared" si="37"/>
        <v>KEY</v>
      </c>
      <c r="W222" s="43" t="str">
        <f t="shared" si="38"/>
        <v>W-2502-062</v>
      </c>
      <c r="X222" s="43" t="str">
        <f>IF(COUNTIF($D$2:D222,D222)&gt;1,"Repeat","First")</f>
        <v>Repeat</v>
      </c>
      <c r="Y222" s="43" t="str">
        <f>IF(AND(K222=Filter!$B$4,N222&gt;=Filter!$B$5),MAX(Y$1:Y221)+1,"")</f>
        <v/>
      </c>
      <c r="Z222" s="43" t="str">
        <f t="shared" si="39"/>
        <v>2025-02</v>
      </c>
    </row>
    <row r="223" spans="1:26" x14ac:dyDescent="0.2">
      <c r="A223" s="43" t="s">
        <v>468</v>
      </c>
      <c r="B223" s="44">
        <v>45712</v>
      </c>
      <c r="C223" s="43" t="s">
        <v>238</v>
      </c>
      <c r="D223" s="43" t="s">
        <v>239</v>
      </c>
      <c r="E223" s="43" t="s">
        <v>227</v>
      </c>
      <c r="F223" s="43" t="s">
        <v>91</v>
      </c>
      <c r="G223" s="43" t="s">
        <v>72</v>
      </c>
      <c r="H223" s="43">
        <v>2</v>
      </c>
      <c r="I223" s="45">
        <v>199.99</v>
      </c>
      <c r="J223" s="43" t="s">
        <v>63</v>
      </c>
      <c r="K223" s="43" t="s">
        <v>61</v>
      </c>
      <c r="L223" s="43" t="s">
        <v>144</v>
      </c>
      <c r="M223" s="44">
        <v>44573</v>
      </c>
      <c r="N223" s="45">
        <v>399.98</v>
      </c>
      <c r="O223" s="43" t="str">
        <f t="shared" si="30"/>
        <v>OK</v>
      </c>
      <c r="P223" s="44">
        <f t="shared" si="31"/>
        <v>45716</v>
      </c>
      <c r="Q223" s="43" t="str">
        <f t="shared" si="32"/>
        <v>Feb-25</v>
      </c>
      <c r="R223" s="43">
        <f t="shared" si="33"/>
        <v>3</v>
      </c>
      <c r="S223" s="43">
        <f t="shared" si="34"/>
        <v>37</v>
      </c>
      <c r="T223" s="43">
        <f t="shared" ca="1" si="35"/>
        <v>606</v>
      </c>
      <c r="U223" s="43" t="str">
        <f t="shared" si="36"/>
        <v>ST</v>
      </c>
      <c r="V223" s="43" t="str">
        <f t="shared" si="37"/>
        <v>OFF</v>
      </c>
      <c r="W223" s="43" t="str">
        <f t="shared" si="38"/>
        <v>C-2502-182</v>
      </c>
      <c r="X223" s="43" t="str">
        <f>IF(COUNTIF($D$2:D223,D223)&gt;1,"Repeat","First")</f>
        <v>Repeat</v>
      </c>
      <c r="Y223" s="43" t="str">
        <f>IF(AND(K223=Filter!$B$4,N223&gt;=Filter!$B$5),MAX(Y$1:Y222)+1,"")</f>
        <v/>
      </c>
      <c r="Z223" s="43" t="str">
        <f t="shared" si="39"/>
        <v>2025-02</v>
      </c>
    </row>
    <row r="224" spans="1:26" x14ac:dyDescent="0.2">
      <c r="A224" s="43" t="s">
        <v>469</v>
      </c>
      <c r="B224" s="44">
        <v>45715</v>
      </c>
      <c r="C224" s="43" t="s">
        <v>359</v>
      </c>
      <c r="D224" s="43" t="s">
        <v>360</v>
      </c>
      <c r="E224" s="43" t="s">
        <v>148</v>
      </c>
      <c r="F224" s="43" t="s">
        <v>65</v>
      </c>
      <c r="G224" s="43" t="s">
        <v>62</v>
      </c>
      <c r="H224" s="43">
        <v>4</v>
      </c>
      <c r="I224" s="45">
        <v>59.99</v>
      </c>
      <c r="J224" s="43" t="s">
        <v>63</v>
      </c>
      <c r="K224" s="43" t="s">
        <v>81</v>
      </c>
      <c r="L224" s="43" t="s">
        <v>149</v>
      </c>
      <c r="M224" s="44">
        <v>45070</v>
      </c>
      <c r="N224" s="45">
        <v>239.96</v>
      </c>
      <c r="O224" s="43" t="str">
        <f t="shared" si="30"/>
        <v>OK</v>
      </c>
      <c r="P224" s="44">
        <f t="shared" si="31"/>
        <v>45716</v>
      </c>
      <c r="Q224" s="43" t="str">
        <f t="shared" si="32"/>
        <v>Feb-25</v>
      </c>
      <c r="R224" s="43">
        <f t="shared" si="33"/>
        <v>1</v>
      </c>
      <c r="S224" s="43">
        <f t="shared" si="34"/>
        <v>21</v>
      </c>
      <c r="T224" s="43">
        <f t="shared" ca="1" si="35"/>
        <v>603</v>
      </c>
      <c r="U224" s="43" t="str">
        <f t="shared" si="36"/>
        <v>RL</v>
      </c>
      <c r="V224" s="43" t="str">
        <f t="shared" si="37"/>
        <v>BLE</v>
      </c>
      <c r="W224" s="43" t="str">
        <f t="shared" si="38"/>
        <v>W-2502-229</v>
      </c>
      <c r="X224" s="43" t="str">
        <f>IF(COUNTIF($D$2:D224,D224)&gt;1,"Repeat","First")</f>
        <v>Repeat</v>
      </c>
      <c r="Y224" s="43" t="str">
        <f>IF(AND(K224=Filter!$B$4,N224&gt;=Filter!$B$5),MAX(Y$1:Y223)+1,"")</f>
        <v/>
      </c>
      <c r="Z224" s="43" t="str">
        <f t="shared" si="39"/>
        <v>2025-02</v>
      </c>
    </row>
    <row r="225" spans="1:26" x14ac:dyDescent="0.2">
      <c r="A225" s="43" t="s">
        <v>470</v>
      </c>
      <c r="B225" s="44">
        <v>45715</v>
      </c>
      <c r="C225" s="43" t="s">
        <v>197</v>
      </c>
      <c r="D225" s="43" t="s">
        <v>198</v>
      </c>
      <c r="E225" s="43" t="s">
        <v>209</v>
      </c>
      <c r="F225" s="43" t="s">
        <v>80</v>
      </c>
      <c r="G225" s="43" t="s">
        <v>72</v>
      </c>
      <c r="H225" s="43">
        <v>2</v>
      </c>
      <c r="I225" s="45">
        <v>299.99</v>
      </c>
      <c r="J225" s="43" t="s">
        <v>78</v>
      </c>
      <c r="K225" s="43" t="s">
        <v>76</v>
      </c>
      <c r="L225" s="43" t="s">
        <v>140</v>
      </c>
      <c r="M225" s="44">
        <v>44576</v>
      </c>
      <c r="N225" s="45">
        <v>599.98</v>
      </c>
      <c r="O225" s="43" t="str">
        <f t="shared" si="30"/>
        <v>OK</v>
      </c>
      <c r="P225" s="44">
        <f t="shared" si="31"/>
        <v>45716</v>
      </c>
      <c r="Q225" s="43" t="str">
        <f t="shared" si="32"/>
        <v>Feb-25</v>
      </c>
      <c r="R225" s="43">
        <f t="shared" si="33"/>
        <v>3</v>
      </c>
      <c r="S225" s="43">
        <f t="shared" si="34"/>
        <v>37</v>
      </c>
      <c r="T225" s="43">
        <f t="shared" ca="1" si="35"/>
        <v>603</v>
      </c>
      <c r="U225" s="43" t="str">
        <f t="shared" si="36"/>
        <v>VS</v>
      </c>
      <c r="V225" s="43" t="str">
        <f t="shared" si="37"/>
        <v>DES</v>
      </c>
      <c r="W225" s="43" t="str">
        <f t="shared" si="38"/>
        <v>S-2502-048</v>
      </c>
      <c r="X225" s="43" t="str">
        <f>IF(COUNTIF($D$2:D225,D225)&gt;1,"Repeat","First")</f>
        <v>Repeat</v>
      </c>
      <c r="Y225" s="43" t="str">
        <f>IF(AND(K225=Filter!$B$4,N225&gt;=Filter!$B$5),MAX(Y$1:Y224)+1,"")</f>
        <v/>
      </c>
      <c r="Z225" s="43" t="str">
        <f t="shared" si="39"/>
        <v>2025-02</v>
      </c>
    </row>
    <row r="226" spans="1:26" x14ac:dyDescent="0.2">
      <c r="A226" s="43" t="s">
        <v>471</v>
      </c>
      <c r="B226" s="44">
        <v>45718</v>
      </c>
      <c r="C226" s="43" t="s">
        <v>163</v>
      </c>
      <c r="D226" s="43" t="s">
        <v>164</v>
      </c>
      <c r="E226" s="43" t="s">
        <v>156</v>
      </c>
      <c r="F226" s="43" t="s">
        <v>70</v>
      </c>
      <c r="G226" s="43" t="s">
        <v>72</v>
      </c>
      <c r="H226" s="43">
        <v>2</v>
      </c>
      <c r="I226" s="45">
        <v>149.99</v>
      </c>
      <c r="J226" s="43" t="s">
        <v>63</v>
      </c>
      <c r="K226" s="43" t="s">
        <v>61</v>
      </c>
      <c r="L226" s="43" t="s">
        <v>140</v>
      </c>
      <c r="M226" s="44">
        <v>45068</v>
      </c>
      <c r="N226" s="45">
        <v>299.98</v>
      </c>
      <c r="O226" s="43" t="str">
        <f t="shared" si="30"/>
        <v>OK</v>
      </c>
      <c r="P226" s="44">
        <f t="shared" si="31"/>
        <v>45747</v>
      </c>
      <c r="Q226" s="43" t="str">
        <f t="shared" si="32"/>
        <v>Mar-25</v>
      </c>
      <c r="R226" s="43">
        <f t="shared" si="33"/>
        <v>1</v>
      </c>
      <c r="S226" s="43">
        <f t="shared" si="34"/>
        <v>21</v>
      </c>
      <c r="T226" s="43">
        <f t="shared" ca="1" si="35"/>
        <v>600</v>
      </c>
      <c r="U226" s="43" t="str">
        <f t="shared" si="36"/>
        <v>CA</v>
      </c>
      <c r="V226" s="43" t="str">
        <f t="shared" si="37"/>
        <v>BOO</v>
      </c>
      <c r="W226" s="43" t="str">
        <f t="shared" si="38"/>
        <v>C-2503-227</v>
      </c>
      <c r="X226" s="43" t="str">
        <f>IF(COUNTIF($D$2:D226,D226)&gt;1,"Repeat","First")</f>
        <v>Repeat</v>
      </c>
      <c r="Y226" s="43" t="str">
        <f>IF(AND(K226=Filter!$B$4,N226&gt;=Filter!$B$5),MAX(Y$1:Y225)+1,"")</f>
        <v/>
      </c>
      <c r="Z226" s="43" t="str">
        <f t="shared" si="39"/>
        <v>2025-03</v>
      </c>
    </row>
    <row r="227" spans="1:26" x14ac:dyDescent="0.2">
      <c r="A227" s="43" t="s">
        <v>472</v>
      </c>
      <c r="B227" s="44">
        <v>45720</v>
      </c>
      <c r="C227" s="43" t="s">
        <v>326</v>
      </c>
      <c r="D227" s="43" t="s">
        <v>327</v>
      </c>
      <c r="E227" s="43" t="s">
        <v>185</v>
      </c>
      <c r="F227" s="43" t="s">
        <v>93</v>
      </c>
      <c r="G227" s="43" t="s">
        <v>67</v>
      </c>
      <c r="H227" s="43">
        <v>5</v>
      </c>
      <c r="I227" s="45">
        <v>699.99</v>
      </c>
      <c r="J227" s="43" t="s">
        <v>73</v>
      </c>
      <c r="K227" s="43" t="s">
        <v>66</v>
      </c>
      <c r="L227" s="43" t="s">
        <v>144</v>
      </c>
      <c r="M227" s="44">
        <v>45161</v>
      </c>
      <c r="N227" s="45">
        <v>3499.95</v>
      </c>
      <c r="O227" s="43" t="str">
        <f t="shared" si="30"/>
        <v>OK</v>
      </c>
      <c r="P227" s="44">
        <f t="shared" si="31"/>
        <v>45747</v>
      </c>
      <c r="Q227" s="43" t="str">
        <f t="shared" si="32"/>
        <v>Mar-25</v>
      </c>
      <c r="R227" s="43">
        <f t="shared" si="33"/>
        <v>1</v>
      </c>
      <c r="S227" s="43">
        <f t="shared" si="34"/>
        <v>18</v>
      </c>
      <c r="T227" s="43">
        <f t="shared" ca="1" si="35"/>
        <v>598</v>
      </c>
      <c r="U227" s="43" t="str">
        <f t="shared" si="36"/>
        <v>LR</v>
      </c>
      <c r="V227" s="43" t="str">
        <f t="shared" si="37"/>
        <v>SMA</v>
      </c>
      <c r="W227" s="43" t="str">
        <f t="shared" si="38"/>
        <v>E-2503-226</v>
      </c>
      <c r="X227" s="43" t="str">
        <f>IF(COUNTIF($D$2:D227,D227)&gt;1,"Repeat","First")</f>
        <v>Repeat</v>
      </c>
      <c r="Y227" s="43" t="str">
        <f>IF(AND(K227=Filter!$B$4,N227&gt;=Filter!$B$5),MAX(Y$1:Y226)+1,"")</f>
        <v/>
      </c>
      <c r="Z227" s="43" t="str">
        <f t="shared" si="39"/>
        <v>2025-03</v>
      </c>
    </row>
    <row r="228" spans="1:26" x14ac:dyDescent="0.2">
      <c r="A228" s="43" t="s">
        <v>473</v>
      </c>
      <c r="B228" s="44">
        <v>45721</v>
      </c>
      <c r="C228" s="43" t="s">
        <v>180</v>
      </c>
      <c r="D228" s="43" t="s">
        <v>181</v>
      </c>
      <c r="E228" s="43" t="s">
        <v>148</v>
      </c>
      <c r="F228" s="43" t="s">
        <v>65</v>
      </c>
      <c r="G228" s="43" t="s">
        <v>62</v>
      </c>
      <c r="H228" s="43">
        <v>5</v>
      </c>
      <c r="I228" s="45">
        <v>59.99</v>
      </c>
      <c r="J228" s="43" t="s">
        <v>63</v>
      </c>
      <c r="K228" s="43" t="s">
        <v>81</v>
      </c>
      <c r="L228" s="43" t="s">
        <v>144</v>
      </c>
      <c r="M228" s="44">
        <v>45291</v>
      </c>
      <c r="N228" s="45">
        <v>299.95</v>
      </c>
      <c r="O228" s="43" t="str">
        <f t="shared" si="30"/>
        <v>OK</v>
      </c>
      <c r="P228" s="44">
        <f t="shared" si="31"/>
        <v>45747</v>
      </c>
      <c r="Q228" s="43" t="str">
        <f t="shared" si="32"/>
        <v>Mar-25</v>
      </c>
      <c r="R228" s="43">
        <f t="shared" si="33"/>
        <v>1</v>
      </c>
      <c r="S228" s="43">
        <f t="shared" si="34"/>
        <v>14</v>
      </c>
      <c r="T228" s="43">
        <f t="shared" ca="1" si="35"/>
        <v>597</v>
      </c>
      <c r="U228" s="43" t="str">
        <f t="shared" si="36"/>
        <v>DG</v>
      </c>
      <c r="V228" s="43" t="str">
        <f t="shared" si="37"/>
        <v>BLE</v>
      </c>
      <c r="W228" s="43" t="str">
        <f t="shared" si="38"/>
        <v>W-2503-053</v>
      </c>
      <c r="X228" s="43" t="str">
        <f>IF(COUNTIF($D$2:D228,D228)&gt;1,"Repeat","First")</f>
        <v>Repeat</v>
      </c>
      <c r="Y228" s="43" t="str">
        <f>IF(AND(K228=Filter!$B$4,N228&gt;=Filter!$B$5),MAX(Y$1:Y227)+1,"")</f>
        <v/>
      </c>
      <c r="Z228" s="43" t="str">
        <f t="shared" si="39"/>
        <v>2025-03</v>
      </c>
    </row>
    <row r="229" spans="1:26" x14ac:dyDescent="0.2">
      <c r="A229" s="43" t="s">
        <v>474</v>
      </c>
      <c r="B229" s="44">
        <v>45723</v>
      </c>
      <c r="C229" s="43" t="s">
        <v>137</v>
      </c>
      <c r="D229" s="43" t="s">
        <v>138</v>
      </c>
      <c r="E229" s="43" t="s">
        <v>219</v>
      </c>
      <c r="F229" s="43" t="s">
        <v>85</v>
      </c>
      <c r="G229" s="43" t="s">
        <v>67</v>
      </c>
      <c r="H229" s="43">
        <v>2</v>
      </c>
      <c r="I229" s="45">
        <v>89.99</v>
      </c>
      <c r="J229" s="43" t="s">
        <v>68</v>
      </c>
      <c r="K229" s="43" t="s">
        <v>81</v>
      </c>
      <c r="L229" s="43" t="s">
        <v>144</v>
      </c>
      <c r="M229" s="44">
        <v>45295</v>
      </c>
      <c r="N229" s="45">
        <v>179.98</v>
      </c>
      <c r="O229" s="43" t="str">
        <f t="shared" si="30"/>
        <v>OK</v>
      </c>
      <c r="P229" s="44">
        <f t="shared" si="31"/>
        <v>45747</v>
      </c>
      <c r="Q229" s="43" t="str">
        <f t="shared" si="32"/>
        <v>Mar-25</v>
      </c>
      <c r="R229" s="43">
        <f t="shared" si="33"/>
        <v>1</v>
      </c>
      <c r="S229" s="43">
        <f t="shared" si="34"/>
        <v>14</v>
      </c>
      <c r="T229" s="43">
        <f t="shared" ca="1" si="35"/>
        <v>595</v>
      </c>
      <c r="U229" s="43" t="str">
        <f t="shared" si="36"/>
        <v>PB</v>
      </c>
      <c r="V229" s="43" t="str">
        <f t="shared" si="37"/>
        <v>KEY</v>
      </c>
      <c r="W229" s="43" t="str">
        <f t="shared" si="38"/>
        <v>W-2503-233</v>
      </c>
      <c r="X229" s="43" t="str">
        <f>IF(COUNTIF($D$2:D229,D229)&gt;1,"Repeat","First")</f>
        <v>Repeat</v>
      </c>
      <c r="Y229" s="43" t="str">
        <f>IF(AND(K229=Filter!$B$4,N229&gt;=Filter!$B$5),MAX(Y$1:Y228)+1,"")</f>
        <v/>
      </c>
      <c r="Z229" s="43" t="str">
        <f t="shared" si="39"/>
        <v>2025-03</v>
      </c>
    </row>
    <row r="230" spans="1:26" x14ac:dyDescent="0.2">
      <c r="A230" s="43" t="s">
        <v>475</v>
      </c>
      <c r="B230" s="44">
        <v>45723</v>
      </c>
      <c r="C230" s="43" t="s">
        <v>221</v>
      </c>
      <c r="D230" s="43" t="s">
        <v>222</v>
      </c>
      <c r="E230" s="43" t="s">
        <v>139</v>
      </c>
      <c r="F230" s="43" t="s">
        <v>89</v>
      </c>
      <c r="G230" s="43" t="s">
        <v>67</v>
      </c>
      <c r="H230" s="43">
        <v>5</v>
      </c>
      <c r="I230" s="45">
        <v>249.99</v>
      </c>
      <c r="J230" s="43" t="s">
        <v>63</v>
      </c>
      <c r="K230" s="43" t="s">
        <v>66</v>
      </c>
      <c r="L230" s="43" t="s">
        <v>149</v>
      </c>
      <c r="M230" s="44">
        <v>44540</v>
      </c>
      <c r="N230" s="45">
        <v>1249.95</v>
      </c>
      <c r="O230" s="43" t="str">
        <f t="shared" si="30"/>
        <v>OK</v>
      </c>
      <c r="P230" s="44">
        <f t="shared" si="31"/>
        <v>45747</v>
      </c>
      <c r="Q230" s="43" t="str">
        <f t="shared" si="32"/>
        <v>Mar-25</v>
      </c>
      <c r="R230" s="43">
        <f t="shared" si="33"/>
        <v>3</v>
      </c>
      <c r="S230" s="43">
        <f t="shared" si="34"/>
        <v>38</v>
      </c>
      <c r="T230" s="43">
        <f t="shared" ca="1" si="35"/>
        <v>595</v>
      </c>
      <c r="U230" s="43" t="str">
        <f t="shared" si="36"/>
        <v>HR</v>
      </c>
      <c r="V230" s="43" t="str">
        <f t="shared" si="37"/>
        <v>MON</v>
      </c>
      <c r="W230" s="43" t="str">
        <f t="shared" si="38"/>
        <v>E-2503-175</v>
      </c>
      <c r="X230" s="43" t="str">
        <f>IF(COUNTIF($D$2:D230,D230)&gt;1,"Repeat","First")</f>
        <v>Repeat</v>
      </c>
      <c r="Y230" s="43" t="str">
        <f>IF(AND(K230=Filter!$B$4,N230&gt;=Filter!$B$5),MAX(Y$1:Y229)+1,"")</f>
        <v/>
      </c>
      <c r="Z230" s="43" t="str">
        <f t="shared" si="39"/>
        <v>2025-03</v>
      </c>
    </row>
    <row r="231" spans="1:26" x14ac:dyDescent="0.2">
      <c r="A231" s="43" t="s">
        <v>476</v>
      </c>
      <c r="B231" s="44">
        <v>45724</v>
      </c>
      <c r="C231" s="43" t="s">
        <v>326</v>
      </c>
      <c r="D231" s="43" t="s">
        <v>327</v>
      </c>
      <c r="E231" s="43" t="s">
        <v>156</v>
      </c>
      <c r="F231" s="43" t="s">
        <v>70</v>
      </c>
      <c r="G231" s="43" t="s">
        <v>72</v>
      </c>
      <c r="H231" s="43">
        <v>2</v>
      </c>
      <c r="I231" s="45">
        <v>149.99</v>
      </c>
      <c r="J231" s="43" t="s">
        <v>78</v>
      </c>
      <c r="K231" s="43" t="s">
        <v>61</v>
      </c>
      <c r="L231" s="43" t="s">
        <v>144</v>
      </c>
      <c r="M231" s="44">
        <v>44632</v>
      </c>
      <c r="N231" s="45">
        <v>299.98</v>
      </c>
      <c r="O231" s="43" t="str">
        <f t="shared" si="30"/>
        <v>OK</v>
      </c>
      <c r="P231" s="44">
        <f t="shared" si="31"/>
        <v>45747</v>
      </c>
      <c r="Q231" s="43" t="str">
        <f t="shared" si="32"/>
        <v>Mar-25</v>
      </c>
      <c r="R231" s="43">
        <f t="shared" si="33"/>
        <v>2</v>
      </c>
      <c r="S231" s="43">
        <f t="shared" si="34"/>
        <v>35</v>
      </c>
      <c r="T231" s="43">
        <f t="shared" ca="1" si="35"/>
        <v>594</v>
      </c>
      <c r="U231" s="43" t="str">
        <f t="shared" si="36"/>
        <v>LR</v>
      </c>
      <c r="V231" s="43" t="str">
        <f t="shared" si="37"/>
        <v>BOO</v>
      </c>
      <c r="W231" s="43" t="str">
        <f t="shared" si="38"/>
        <v>C-2503-186</v>
      </c>
      <c r="X231" s="43" t="str">
        <f>IF(COUNTIF($D$2:D231,D231)&gt;1,"Repeat","First")</f>
        <v>Repeat</v>
      </c>
      <c r="Y231" s="43" t="str">
        <f>IF(AND(K231=Filter!$B$4,N231&gt;=Filter!$B$5),MAX(Y$1:Y230)+1,"")</f>
        <v/>
      </c>
      <c r="Z231" s="43" t="str">
        <f t="shared" si="39"/>
        <v>2025-03</v>
      </c>
    </row>
    <row r="232" spans="1:26" x14ac:dyDescent="0.2">
      <c r="A232" s="43" t="s">
        <v>477</v>
      </c>
      <c r="B232" s="44">
        <v>45724</v>
      </c>
      <c r="C232" s="43" t="s">
        <v>244</v>
      </c>
      <c r="D232" s="43" t="s">
        <v>245</v>
      </c>
      <c r="E232" s="43" t="s">
        <v>168</v>
      </c>
      <c r="F232" s="43" t="s">
        <v>87</v>
      </c>
      <c r="G232" s="43" t="s">
        <v>67</v>
      </c>
      <c r="H232" s="43">
        <v>5</v>
      </c>
      <c r="I232" s="45">
        <v>899.99</v>
      </c>
      <c r="J232" s="43" t="s">
        <v>78</v>
      </c>
      <c r="K232" s="43" t="s">
        <v>66</v>
      </c>
      <c r="L232" s="43" t="s">
        <v>144</v>
      </c>
      <c r="M232" s="44">
        <v>45389</v>
      </c>
      <c r="N232" s="45">
        <v>4499.95</v>
      </c>
      <c r="O232" s="43" t="str">
        <f t="shared" si="30"/>
        <v>OK</v>
      </c>
      <c r="P232" s="44">
        <f t="shared" si="31"/>
        <v>45747</v>
      </c>
      <c r="Q232" s="43" t="str">
        <f t="shared" si="32"/>
        <v>Mar-25</v>
      </c>
      <c r="R232" s="43">
        <f t="shared" si="33"/>
        <v>0</v>
      </c>
      <c r="S232" s="43">
        <f t="shared" si="34"/>
        <v>11</v>
      </c>
      <c r="T232" s="43">
        <f t="shared" ca="1" si="35"/>
        <v>594</v>
      </c>
      <c r="U232" s="43" t="str">
        <f t="shared" si="36"/>
        <v>HM</v>
      </c>
      <c r="V232" s="43" t="str">
        <f t="shared" si="37"/>
        <v>LAP</v>
      </c>
      <c r="W232" s="43" t="str">
        <f t="shared" si="38"/>
        <v>E-2503-016</v>
      </c>
      <c r="X232" s="43" t="str">
        <f>IF(COUNTIF($D$2:D232,D232)&gt;1,"Repeat","First")</f>
        <v>Repeat</v>
      </c>
      <c r="Y232" s="43" t="str">
        <f>IF(AND(K232=Filter!$B$4,N232&gt;=Filter!$B$5),MAX(Y$1:Y231)+1,"")</f>
        <v/>
      </c>
      <c r="Z232" s="43" t="str">
        <f t="shared" si="39"/>
        <v>2025-03</v>
      </c>
    </row>
    <row r="233" spans="1:26" x14ac:dyDescent="0.2">
      <c r="A233" s="43" t="s">
        <v>478</v>
      </c>
      <c r="B233" s="44">
        <v>45724</v>
      </c>
      <c r="C233" s="43" t="s">
        <v>163</v>
      </c>
      <c r="D233" s="43" t="s">
        <v>164</v>
      </c>
      <c r="E233" s="43" t="s">
        <v>156</v>
      </c>
      <c r="F233" s="43" t="s">
        <v>70</v>
      </c>
      <c r="G233" s="43" t="s">
        <v>72</v>
      </c>
      <c r="H233" s="43">
        <v>4</v>
      </c>
      <c r="I233" s="45">
        <v>149.99</v>
      </c>
      <c r="J233" s="43" t="s">
        <v>63</v>
      </c>
      <c r="K233" s="43" t="s">
        <v>61</v>
      </c>
      <c r="L233" s="43" t="s">
        <v>149</v>
      </c>
      <c r="M233" s="44">
        <v>45263</v>
      </c>
      <c r="N233" s="45">
        <v>599.96</v>
      </c>
      <c r="O233" s="43" t="str">
        <f t="shared" si="30"/>
        <v>OK</v>
      </c>
      <c r="P233" s="44">
        <f t="shared" si="31"/>
        <v>45747</v>
      </c>
      <c r="Q233" s="43" t="str">
        <f t="shared" si="32"/>
        <v>Mar-25</v>
      </c>
      <c r="R233" s="43">
        <f t="shared" si="33"/>
        <v>1</v>
      </c>
      <c r="S233" s="43">
        <f t="shared" si="34"/>
        <v>15</v>
      </c>
      <c r="T233" s="43">
        <f t="shared" ca="1" si="35"/>
        <v>594</v>
      </c>
      <c r="U233" s="43" t="str">
        <f t="shared" si="36"/>
        <v>CA</v>
      </c>
      <c r="V233" s="43" t="str">
        <f t="shared" si="37"/>
        <v>BOO</v>
      </c>
      <c r="W233" s="43" t="str">
        <f t="shared" si="38"/>
        <v>C-2503-199</v>
      </c>
      <c r="X233" s="43" t="str">
        <f>IF(COUNTIF($D$2:D233,D233)&gt;1,"Repeat","First")</f>
        <v>Repeat</v>
      </c>
      <c r="Y233" s="43" t="str">
        <f>IF(AND(K233=Filter!$B$4,N233&gt;=Filter!$B$5),MAX(Y$1:Y232)+1,"")</f>
        <v/>
      </c>
      <c r="Z233" s="43" t="str">
        <f t="shared" si="39"/>
        <v>2025-03</v>
      </c>
    </row>
    <row r="234" spans="1:26" x14ac:dyDescent="0.2">
      <c r="A234" s="43" t="s">
        <v>479</v>
      </c>
      <c r="B234" s="44">
        <v>45726</v>
      </c>
      <c r="C234" s="43" t="s">
        <v>244</v>
      </c>
      <c r="D234" s="43" t="s">
        <v>245</v>
      </c>
      <c r="E234" s="43" t="s">
        <v>139</v>
      </c>
      <c r="F234" s="43" t="s">
        <v>89</v>
      </c>
      <c r="G234" s="43" t="s">
        <v>67</v>
      </c>
      <c r="H234" s="43">
        <v>1</v>
      </c>
      <c r="I234" s="45">
        <v>249.99</v>
      </c>
      <c r="J234" s="43" t="s">
        <v>63</v>
      </c>
      <c r="K234" s="43" t="s">
        <v>71</v>
      </c>
      <c r="L234" s="43" t="s">
        <v>149</v>
      </c>
      <c r="M234" s="44">
        <v>45117</v>
      </c>
      <c r="N234" s="45">
        <v>249.99</v>
      </c>
      <c r="O234" s="43" t="str">
        <f t="shared" si="30"/>
        <v>OK</v>
      </c>
      <c r="P234" s="44">
        <f t="shared" si="31"/>
        <v>45747</v>
      </c>
      <c r="Q234" s="43" t="str">
        <f t="shared" si="32"/>
        <v>Mar-25</v>
      </c>
      <c r="R234" s="43">
        <f t="shared" si="33"/>
        <v>1</v>
      </c>
      <c r="S234" s="43">
        <f t="shared" si="34"/>
        <v>20</v>
      </c>
      <c r="T234" s="43">
        <f t="shared" ca="1" si="35"/>
        <v>592</v>
      </c>
      <c r="U234" s="43" t="str">
        <f t="shared" si="36"/>
        <v>HM</v>
      </c>
      <c r="V234" s="43" t="str">
        <f t="shared" si="37"/>
        <v>MON</v>
      </c>
      <c r="W234" s="43" t="str">
        <f t="shared" si="38"/>
        <v>N-2503-038</v>
      </c>
      <c r="X234" s="43" t="str">
        <f>IF(COUNTIF($D$2:D234,D234)&gt;1,"Repeat","First")</f>
        <v>Repeat</v>
      </c>
      <c r="Y234" s="43" t="str">
        <f>IF(AND(K234=Filter!$B$4,N234&gt;=Filter!$B$5),MAX(Y$1:Y233)+1,"")</f>
        <v/>
      </c>
      <c r="Z234" s="43" t="str">
        <f t="shared" si="39"/>
        <v>2025-03</v>
      </c>
    </row>
    <row r="235" spans="1:26" x14ac:dyDescent="0.2">
      <c r="A235" s="43" t="s">
        <v>480</v>
      </c>
      <c r="B235" s="44">
        <v>45734</v>
      </c>
      <c r="C235" s="43" t="s">
        <v>292</v>
      </c>
      <c r="D235" s="43" t="s">
        <v>293</v>
      </c>
      <c r="E235" s="43" t="s">
        <v>148</v>
      </c>
      <c r="F235" s="43" t="s">
        <v>65</v>
      </c>
      <c r="G235" s="43" t="s">
        <v>62</v>
      </c>
      <c r="H235" s="43">
        <v>2</v>
      </c>
      <c r="I235" s="45">
        <v>59.99</v>
      </c>
      <c r="J235" s="43" t="s">
        <v>68</v>
      </c>
      <c r="K235" s="43" t="s">
        <v>81</v>
      </c>
      <c r="L235" s="43" t="s">
        <v>140</v>
      </c>
      <c r="M235" s="44">
        <v>45193</v>
      </c>
      <c r="N235" s="45">
        <v>119.98</v>
      </c>
      <c r="O235" s="43" t="str">
        <f t="shared" si="30"/>
        <v>OK</v>
      </c>
      <c r="P235" s="44">
        <f t="shared" si="31"/>
        <v>45747</v>
      </c>
      <c r="Q235" s="43" t="str">
        <f t="shared" si="32"/>
        <v>Mar-25</v>
      </c>
      <c r="R235" s="43">
        <f t="shared" si="33"/>
        <v>1</v>
      </c>
      <c r="S235" s="43">
        <f t="shared" si="34"/>
        <v>17</v>
      </c>
      <c r="T235" s="43">
        <f t="shared" ca="1" si="35"/>
        <v>584</v>
      </c>
      <c r="U235" s="43" t="str">
        <f t="shared" si="36"/>
        <v>FT</v>
      </c>
      <c r="V235" s="43" t="str">
        <f t="shared" si="37"/>
        <v>BLE</v>
      </c>
      <c r="W235" s="43" t="str">
        <f t="shared" si="38"/>
        <v>W-2503-014</v>
      </c>
      <c r="X235" s="43" t="str">
        <f>IF(COUNTIF($D$2:D235,D235)&gt;1,"Repeat","First")</f>
        <v>Repeat</v>
      </c>
      <c r="Y235" s="43" t="str">
        <f>IF(AND(K235=Filter!$B$4,N235&gt;=Filter!$B$5),MAX(Y$1:Y234)+1,"")</f>
        <v/>
      </c>
      <c r="Z235" s="43" t="str">
        <f t="shared" si="39"/>
        <v>2025-03</v>
      </c>
    </row>
    <row r="236" spans="1:26" x14ac:dyDescent="0.2">
      <c r="A236" s="43" t="s">
        <v>481</v>
      </c>
      <c r="B236" s="44">
        <v>45737</v>
      </c>
      <c r="C236" s="43" t="s">
        <v>232</v>
      </c>
      <c r="D236" s="43" t="s">
        <v>233</v>
      </c>
      <c r="E236" s="43" t="s">
        <v>156</v>
      </c>
      <c r="F236" s="43" t="s">
        <v>70</v>
      </c>
      <c r="G236" s="43" t="s">
        <v>72</v>
      </c>
      <c r="H236" s="43">
        <v>2</v>
      </c>
      <c r="I236" s="45">
        <v>149.99</v>
      </c>
      <c r="J236" s="43" t="s">
        <v>63</v>
      </c>
      <c r="K236" s="43" t="s">
        <v>81</v>
      </c>
      <c r="L236" s="43" t="s">
        <v>144</v>
      </c>
      <c r="M236" s="44">
        <v>45233</v>
      </c>
      <c r="N236" s="45">
        <v>299.98</v>
      </c>
      <c r="O236" s="43" t="str">
        <f t="shared" si="30"/>
        <v>OK</v>
      </c>
      <c r="P236" s="44">
        <f t="shared" si="31"/>
        <v>45747</v>
      </c>
      <c r="Q236" s="43" t="str">
        <f t="shared" si="32"/>
        <v>Mar-25</v>
      </c>
      <c r="R236" s="43">
        <f t="shared" si="33"/>
        <v>1</v>
      </c>
      <c r="S236" s="43">
        <f t="shared" si="34"/>
        <v>16</v>
      </c>
      <c r="T236" s="43">
        <f t="shared" ca="1" si="35"/>
        <v>581</v>
      </c>
      <c r="U236" s="43" t="str">
        <f t="shared" si="36"/>
        <v>EW</v>
      </c>
      <c r="V236" s="43" t="str">
        <f t="shared" si="37"/>
        <v>BOO</v>
      </c>
      <c r="W236" s="43" t="str">
        <f t="shared" si="38"/>
        <v>W-2503-003</v>
      </c>
      <c r="X236" s="43" t="str">
        <f>IF(COUNTIF($D$2:D236,D236)&gt;1,"Repeat","First")</f>
        <v>Repeat</v>
      </c>
      <c r="Y236" s="43" t="str">
        <f>IF(AND(K236=Filter!$B$4,N236&gt;=Filter!$B$5),MAX(Y$1:Y235)+1,"")</f>
        <v/>
      </c>
      <c r="Z236" s="43" t="str">
        <f t="shared" si="39"/>
        <v>2025-03</v>
      </c>
    </row>
    <row r="237" spans="1:26" x14ac:dyDescent="0.2">
      <c r="A237" s="43" t="s">
        <v>482</v>
      </c>
      <c r="B237" s="44">
        <v>45737</v>
      </c>
      <c r="C237" s="43" t="s">
        <v>250</v>
      </c>
      <c r="D237" s="43" t="s">
        <v>251</v>
      </c>
      <c r="E237" s="43" t="s">
        <v>168</v>
      </c>
      <c r="F237" s="43" t="s">
        <v>87</v>
      </c>
      <c r="G237" s="43" t="s">
        <v>67</v>
      </c>
      <c r="H237" s="43">
        <v>3</v>
      </c>
      <c r="I237" s="45">
        <v>899.99</v>
      </c>
      <c r="J237" s="43" t="s">
        <v>73</v>
      </c>
      <c r="K237" s="43" t="s">
        <v>71</v>
      </c>
      <c r="L237" s="43" t="s">
        <v>144</v>
      </c>
      <c r="M237" s="44">
        <v>44876</v>
      </c>
      <c r="N237" s="45">
        <v>2699.97</v>
      </c>
      <c r="O237" s="43" t="str">
        <f t="shared" si="30"/>
        <v>OK</v>
      </c>
      <c r="P237" s="44">
        <f t="shared" si="31"/>
        <v>45747</v>
      </c>
      <c r="Q237" s="43" t="str">
        <f t="shared" si="32"/>
        <v>Mar-25</v>
      </c>
      <c r="R237" s="43">
        <f t="shared" si="33"/>
        <v>2</v>
      </c>
      <c r="S237" s="43">
        <f t="shared" si="34"/>
        <v>28</v>
      </c>
      <c r="T237" s="43">
        <f t="shared" ca="1" si="35"/>
        <v>581</v>
      </c>
      <c r="U237" s="43" t="str">
        <f t="shared" si="36"/>
        <v>SB</v>
      </c>
      <c r="V237" s="43" t="str">
        <f t="shared" si="37"/>
        <v>LAP</v>
      </c>
      <c r="W237" s="43" t="str">
        <f t="shared" si="38"/>
        <v>N-2503-124</v>
      </c>
      <c r="X237" s="43" t="str">
        <f>IF(COUNTIF($D$2:D237,D237)&gt;1,"Repeat","First")</f>
        <v>Repeat</v>
      </c>
      <c r="Y237" s="43" t="str">
        <f>IF(AND(K237=Filter!$B$4,N237&gt;=Filter!$B$5),MAX(Y$1:Y236)+1,"")</f>
        <v/>
      </c>
      <c r="Z237" s="43" t="str">
        <f t="shared" si="39"/>
        <v>2025-03</v>
      </c>
    </row>
    <row r="238" spans="1:26" x14ac:dyDescent="0.2">
      <c r="A238" s="43" t="s">
        <v>483</v>
      </c>
      <c r="B238" s="44">
        <v>45737</v>
      </c>
      <c r="C238" s="43" t="s">
        <v>158</v>
      </c>
      <c r="D238" s="43" t="s">
        <v>159</v>
      </c>
      <c r="E238" s="43" t="s">
        <v>168</v>
      </c>
      <c r="F238" s="43" t="s">
        <v>87</v>
      </c>
      <c r="G238" s="43" t="s">
        <v>67</v>
      </c>
      <c r="H238" s="43">
        <v>3</v>
      </c>
      <c r="I238" s="45">
        <v>899.99</v>
      </c>
      <c r="J238" s="43" t="s">
        <v>78</v>
      </c>
      <c r="K238" s="43" t="s">
        <v>71</v>
      </c>
      <c r="L238" s="43" t="s">
        <v>140</v>
      </c>
      <c r="M238" s="44">
        <v>44975</v>
      </c>
      <c r="N238" s="45">
        <v>2699.97</v>
      </c>
      <c r="O238" s="43" t="str">
        <f t="shared" si="30"/>
        <v>OK</v>
      </c>
      <c r="P238" s="44">
        <f t="shared" si="31"/>
        <v>45747</v>
      </c>
      <c r="Q238" s="43" t="str">
        <f t="shared" si="32"/>
        <v>Mar-25</v>
      </c>
      <c r="R238" s="43">
        <f t="shared" si="33"/>
        <v>2</v>
      </c>
      <c r="S238" s="43">
        <f t="shared" si="34"/>
        <v>25</v>
      </c>
      <c r="T238" s="43">
        <f t="shared" ca="1" si="35"/>
        <v>581</v>
      </c>
      <c r="U238" s="43" t="str">
        <f t="shared" si="36"/>
        <v>DN</v>
      </c>
      <c r="V238" s="43" t="str">
        <f t="shared" si="37"/>
        <v>LAP</v>
      </c>
      <c r="W238" s="43" t="str">
        <f t="shared" si="38"/>
        <v>N-2503-013</v>
      </c>
      <c r="X238" s="43" t="str">
        <f>IF(COUNTIF($D$2:D238,D238)&gt;1,"Repeat","First")</f>
        <v>Repeat</v>
      </c>
      <c r="Y238" s="43" t="str">
        <f>IF(AND(K238=Filter!$B$4,N238&gt;=Filter!$B$5),MAX(Y$1:Y237)+1,"")</f>
        <v/>
      </c>
      <c r="Z238" s="43" t="str">
        <f t="shared" si="39"/>
        <v>2025-03</v>
      </c>
    </row>
    <row r="239" spans="1:26" x14ac:dyDescent="0.2">
      <c r="A239" s="43" t="s">
        <v>484</v>
      </c>
      <c r="B239" s="44">
        <v>45739</v>
      </c>
      <c r="C239" s="43" t="s">
        <v>137</v>
      </c>
      <c r="D239" s="43" t="s">
        <v>138</v>
      </c>
      <c r="E239" s="43" t="s">
        <v>209</v>
      </c>
      <c r="F239" s="43" t="s">
        <v>80</v>
      </c>
      <c r="G239" s="43" t="s">
        <v>72</v>
      </c>
      <c r="H239" s="43">
        <v>3</v>
      </c>
      <c r="I239" s="45">
        <v>299.99</v>
      </c>
      <c r="J239" s="43" t="s">
        <v>68</v>
      </c>
      <c r="K239" s="43" t="s">
        <v>81</v>
      </c>
      <c r="L239" s="43" t="s">
        <v>144</v>
      </c>
      <c r="M239" s="44">
        <v>45234</v>
      </c>
      <c r="N239" s="45">
        <v>899.97</v>
      </c>
      <c r="O239" s="43" t="str">
        <f t="shared" si="30"/>
        <v>OK</v>
      </c>
      <c r="P239" s="44">
        <f t="shared" si="31"/>
        <v>45747</v>
      </c>
      <c r="Q239" s="43" t="str">
        <f t="shared" si="32"/>
        <v>Mar-25</v>
      </c>
      <c r="R239" s="43">
        <f t="shared" si="33"/>
        <v>1</v>
      </c>
      <c r="S239" s="43">
        <f t="shared" si="34"/>
        <v>16</v>
      </c>
      <c r="T239" s="43">
        <f t="shared" ca="1" si="35"/>
        <v>579</v>
      </c>
      <c r="U239" s="43" t="str">
        <f t="shared" si="36"/>
        <v>PB</v>
      </c>
      <c r="V239" s="43" t="str">
        <f t="shared" si="37"/>
        <v>DES</v>
      </c>
      <c r="W239" s="43" t="str">
        <f t="shared" si="38"/>
        <v>W-2503-019</v>
      </c>
      <c r="X239" s="43" t="str">
        <f>IF(COUNTIF($D$2:D239,D239)&gt;1,"Repeat","First")</f>
        <v>Repeat</v>
      </c>
      <c r="Y239" s="43" t="str">
        <f>IF(AND(K239=Filter!$B$4,N239&gt;=Filter!$B$5),MAX(Y$1:Y238)+1,"")</f>
        <v/>
      </c>
      <c r="Z239" s="43" t="str">
        <f t="shared" si="39"/>
        <v>2025-03</v>
      </c>
    </row>
    <row r="240" spans="1:26" x14ac:dyDescent="0.2">
      <c r="A240" s="43" t="s">
        <v>485</v>
      </c>
      <c r="B240" s="44">
        <v>45740</v>
      </c>
      <c r="C240" s="43" t="s">
        <v>486</v>
      </c>
      <c r="D240" s="43" t="s">
        <v>487</v>
      </c>
      <c r="E240" s="43" t="s">
        <v>156</v>
      </c>
      <c r="F240" s="43" t="s">
        <v>70</v>
      </c>
      <c r="G240" s="43" t="s">
        <v>72</v>
      </c>
      <c r="H240" s="43">
        <v>4</v>
      </c>
      <c r="I240" s="45">
        <v>149.99</v>
      </c>
      <c r="J240" s="43" t="s">
        <v>78</v>
      </c>
      <c r="K240" s="43" t="s">
        <v>81</v>
      </c>
      <c r="L240" s="43" t="s">
        <v>149</v>
      </c>
      <c r="M240" s="44">
        <v>44560</v>
      </c>
      <c r="N240" s="45">
        <v>599.96</v>
      </c>
      <c r="O240" s="43" t="str">
        <f t="shared" si="30"/>
        <v>OK</v>
      </c>
      <c r="P240" s="44">
        <f t="shared" si="31"/>
        <v>45747</v>
      </c>
      <c r="Q240" s="43" t="str">
        <f t="shared" si="32"/>
        <v>Mar-25</v>
      </c>
      <c r="R240" s="43">
        <f t="shared" si="33"/>
        <v>3</v>
      </c>
      <c r="S240" s="43">
        <f t="shared" si="34"/>
        <v>38</v>
      </c>
      <c r="T240" s="43">
        <f t="shared" ca="1" si="35"/>
        <v>578</v>
      </c>
      <c r="U240" s="43" t="str">
        <f t="shared" si="36"/>
        <v>JS</v>
      </c>
      <c r="V240" s="43" t="str">
        <f t="shared" si="37"/>
        <v>BOO</v>
      </c>
      <c r="W240" s="43" t="str">
        <f t="shared" si="38"/>
        <v>W-2503-050</v>
      </c>
      <c r="X240" s="43" t="str">
        <f>IF(COUNTIF($D$2:D240,D240)&gt;1,"Repeat","First")</f>
        <v>First</v>
      </c>
      <c r="Y240" s="43" t="str">
        <f>IF(AND(K240=Filter!$B$4,N240&gt;=Filter!$B$5),MAX(Y$1:Y239)+1,"")</f>
        <v/>
      </c>
      <c r="Z240" s="43" t="str">
        <f t="shared" si="39"/>
        <v>2025-03</v>
      </c>
    </row>
    <row r="241" spans="1:26" x14ac:dyDescent="0.2">
      <c r="A241" s="43" t="s">
        <v>488</v>
      </c>
      <c r="B241" s="44">
        <v>45743</v>
      </c>
      <c r="C241" s="43" t="s">
        <v>206</v>
      </c>
      <c r="D241" s="43" t="s">
        <v>207</v>
      </c>
      <c r="E241" s="43" t="s">
        <v>217</v>
      </c>
      <c r="F241" s="43" t="s">
        <v>75</v>
      </c>
      <c r="G241" s="43" t="s">
        <v>62</v>
      </c>
      <c r="H241" s="43">
        <v>4</v>
      </c>
      <c r="I241" s="45">
        <v>79.989999999999995</v>
      </c>
      <c r="J241" s="43" t="s">
        <v>68</v>
      </c>
      <c r="K241" s="43" t="s">
        <v>61</v>
      </c>
      <c r="L241" s="43" t="s">
        <v>140</v>
      </c>
      <c r="M241" s="44">
        <v>45288</v>
      </c>
      <c r="N241" s="45">
        <v>319.95999999999998</v>
      </c>
      <c r="O241" s="43" t="str">
        <f t="shared" si="30"/>
        <v>OK</v>
      </c>
      <c r="P241" s="44">
        <f t="shared" si="31"/>
        <v>45747</v>
      </c>
      <c r="Q241" s="43" t="str">
        <f t="shared" si="32"/>
        <v>Mar-25</v>
      </c>
      <c r="R241" s="43">
        <f t="shared" si="33"/>
        <v>1</v>
      </c>
      <c r="S241" s="43">
        <f t="shared" si="34"/>
        <v>14</v>
      </c>
      <c r="T241" s="43">
        <f t="shared" ca="1" si="35"/>
        <v>575</v>
      </c>
      <c r="U241" s="43" t="str">
        <f t="shared" si="36"/>
        <v>CP</v>
      </c>
      <c r="V241" s="43" t="str">
        <f t="shared" si="37"/>
        <v>COF</v>
      </c>
      <c r="W241" s="43" t="str">
        <f t="shared" si="38"/>
        <v>C-2503-152</v>
      </c>
      <c r="X241" s="43" t="str">
        <f>IF(COUNTIF($D$2:D241,D241)&gt;1,"Repeat","First")</f>
        <v>Repeat</v>
      </c>
      <c r="Y241" s="43" t="str">
        <f>IF(AND(K241=Filter!$B$4,N241&gt;=Filter!$B$5),MAX(Y$1:Y240)+1,"")</f>
        <v/>
      </c>
      <c r="Z241" s="43" t="str">
        <f t="shared" si="39"/>
        <v>2025-03</v>
      </c>
    </row>
    <row r="242" spans="1:26" x14ac:dyDescent="0.2">
      <c r="A242" s="43" t="s">
        <v>489</v>
      </c>
      <c r="B242" s="44">
        <v>45745</v>
      </c>
      <c r="C242" s="43" t="s">
        <v>285</v>
      </c>
      <c r="D242" s="43" t="s">
        <v>286</v>
      </c>
      <c r="E242" s="43" t="s">
        <v>219</v>
      </c>
      <c r="F242" s="43" t="s">
        <v>85</v>
      </c>
      <c r="G242" s="43" t="s">
        <v>67</v>
      </c>
      <c r="H242" s="43">
        <v>5</v>
      </c>
      <c r="I242" s="45">
        <v>89.99</v>
      </c>
      <c r="J242" s="43" t="s">
        <v>78</v>
      </c>
      <c r="K242" s="43" t="s">
        <v>76</v>
      </c>
      <c r="L242" s="43" t="s">
        <v>140</v>
      </c>
      <c r="M242" s="44">
        <v>44704</v>
      </c>
      <c r="N242" s="45">
        <v>449.95</v>
      </c>
      <c r="O242" s="43" t="str">
        <f t="shared" si="30"/>
        <v>OK</v>
      </c>
      <c r="P242" s="44">
        <f t="shared" si="31"/>
        <v>45747</v>
      </c>
      <c r="Q242" s="43" t="str">
        <f t="shared" si="32"/>
        <v>Mar-25</v>
      </c>
      <c r="R242" s="43">
        <f t="shared" si="33"/>
        <v>2</v>
      </c>
      <c r="S242" s="43">
        <f t="shared" si="34"/>
        <v>34</v>
      </c>
      <c r="T242" s="43">
        <f t="shared" ca="1" si="35"/>
        <v>573</v>
      </c>
      <c r="U242" s="43" t="str">
        <f t="shared" si="36"/>
        <v>MW</v>
      </c>
      <c r="V242" s="43" t="str">
        <f t="shared" si="37"/>
        <v>KEY</v>
      </c>
      <c r="W242" s="43" t="str">
        <f t="shared" si="38"/>
        <v>S-2503-213</v>
      </c>
      <c r="X242" s="43" t="str">
        <f>IF(COUNTIF($D$2:D242,D242)&gt;1,"Repeat","First")</f>
        <v>Repeat</v>
      </c>
      <c r="Y242" s="43" t="str">
        <f>IF(AND(K242=Filter!$B$4,N242&gt;=Filter!$B$5),MAX(Y$1:Y241)+1,"")</f>
        <v/>
      </c>
      <c r="Z242" s="43" t="str">
        <f t="shared" si="39"/>
        <v>2025-03</v>
      </c>
    </row>
    <row r="243" spans="1:26" x14ac:dyDescent="0.2">
      <c r="A243" s="43" t="s">
        <v>490</v>
      </c>
      <c r="B243" s="44">
        <v>45746</v>
      </c>
      <c r="C243" s="43" t="s">
        <v>197</v>
      </c>
      <c r="D243" s="43" t="s">
        <v>198</v>
      </c>
      <c r="E243" s="43" t="s">
        <v>156</v>
      </c>
      <c r="F243" s="43" t="s">
        <v>70</v>
      </c>
      <c r="G243" s="43" t="s">
        <v>72</v>
      </c>
      <c r="H243" s="43">
        <v>3</v>
      </c>
      <c r="I243" s="45">
        <v>149.99</v>
      </c>
      <c r="J243" s="43" t="s">
        <v>78</v>
      </c>
      <c r="K243" s="43" t="s">
        <v>61</v>
      </c>
      <c r="L243" s="43" t="s">
        <v>149</v>
      </c>
      <c r="M243" s="44">
        <v>45171</v>
      </c>
      <c r="N243" s="45">
        <v>449.97</v>
      </c>
      <c r="O243" s="43" t="str">
        <f t="shared" si="30"/>
        <v>OK</v>
      </c>
      <c r="P243" s="44">
        <f t="shared" si="31"/>
        <v>45747</v>
      </c>
      <c r="Q243" s="43" t="str">
        <f t="shared" si="32"/>
        <v>Mar-25</v>
      </c>
      <c r="R243" s="43">
        <f t="shared" si="33"/>
        <v>1</v>
      </c>
      <c r="S243" s="43">
        <f t="shared" si="34"/>
        <v>18</v>
      </c>
      <c r="T243" s="43">
        <f t="shared" ca="1" si="35"/>
        <v>572</v>
      </c>
      <c r="U243" s="43" t="str">
        <f t="shared" si="36"/>
        <v>VS</v>
      </c>
      <c r="V243" s="43" t="str">
        <f t="shared" si="37"/>
        <v>BOO</v>
      </c>
      <c r="W243" s="43" t="str">
        <f t="shared" si="38"/>
        <v>C-2503-197</v>
      </c>
      <c r="X243" s="43" t="str">
        <f>IF(COUNTIF($D$2:D243,D243)&gt;1,"Repeat","First")</f>
        <v>Repeat</v>
      </c>
      <c r="Y243" s="43" t="str">
        <f>IF(AND(K243=Filter!$B$4,N243&gt;=Filter!$B$5),MAX(Y$1:Y242)+1,"")</f>
        <v/>
      </c>
      <c r="Z243" s="43" t="str">
        <f t="shared" si="39"/>
        <v>2025-03</v>
      </c>
    </row>
    <row r="244" spans="1:26" x14ac:dyDescent="0.2">
      <c r="A244" s="43" t="s">
        <v>491</v>
      </c>
      <c r="B244" s="44">
        <v>45746</v>
      </c>
      <c r="C244" s="43" t="s">
        <v>170</v>
      </c>
      <c r="D244" s="43" t="s">
        <v>171</v>
      </c>
      <c r="E244" s="43" t="s">
        <v>219</v>
      </c>
      <c r="F244" s="43" t="s">
        <v>85</v>
      </c>
      <c r="G244" s="43" t="s">
        <v>67</v>
      </c>
      <c r="H244" s="43">
        <v>2</v>
      </c>
      <c r="I244" s="45">
        <v>89.99</v>
      </c>
      <c r="J244" s="43" t="s">
        <v>73</v>
      </c>
      <c r="K244" s="43" t="s">
        <v>81</v>
      </c>
      <c r="L244" s="43" t="s">
        <v>144</v>
      </c>
      <c r="M244" s="44">
        <v>44522</v>
      </c>
      <c r="N244" s="45">
        <v>179.98</v>
      </c>
      <c r="O244" s="43" t="str">
        <f t="shared" si="30"/>
        <v>OK</v>
      </c>
      <c r="P244" s="44">
        <f t="shared" si="31"/>
        <v>45747</v>
      </c>
      <c r="Q244" s="43" t="str">
        <f t="shared" si="32"/>
        <v>Mar-25</v>
      </c>
      <c r="R244" s="43">
        <f t="shared" si="33"/>
        <v>3</v>
      </c>
      <c r="S244" s="43">
        <f t="shared" si="34"/>
        <v>40</v>
      </c>
      <c r="T244" s="43">
        <f t="shared" ca="1" si="35"/>
        <v>572</v>
      </c>
      <c r="U244" s="43" t="str">
        <f t="shared" si="36"/>
        <v>KH</v>
      </c>
      <c r="V244" s="43" t="str">
        <f t="shared" si="37"/>
        <v>KEY</v>
      </c>
      <c r="W244" s="43" t="str">
        <f t="shared" si="38"/>
        <v>W-2503-250</v>
      </c>
      <c r="X244" s="43" t="str">
        <f>IF(COUNTIF($D$2:D244,D244)&gt;1,"Repeat","First")</f>
        <v>Repeat</v>
      </c>
      <c r="Y244" s="43" t="str">
        <f>IF(AND(K244=Filter!$B$4,N244&gt;=Filter!$B$5),MAX(Y$1:Y243)+1,"")</f>
        <v/>
      </c>
      <c r="Z244" s="43" t="str">
        <f t="shared" si="39"/>
        <v>2025-03</v>
      </c>
    </row>
    <row r="245" spans="1:26" x14ac:dyDescent="0.2">
      <c r="A245" s="43" t="s">
        <v>492</v>
      </c>
      <c r="B245" s="44">
        <v>45748</v>
      </c>
      <c r="C245" s="43" t="s">
        <v>206</v>
      </c>
      <c r="D245" s="43" t="s">
        <v>207</v>
      </c>
      <c r="E245" s="43" t="s">
        <v>185</v>
      </c>
      <c r="F245" s="43" t="s">
        <v>93</v>
      </c>
      <c r="G245" s="43" t="s">
        <v>67</v>
      </c>
      <c r="H245" s="43">
        <v>2</v>
      </c>
      <c r="I245" s="45">
        <v>699.99</v>
      </c>
      <c r="J245" s="43" t="s">
        <v>78</v>
      </c>
      <c r="K245" s="43" t="s">
        <v>71</v>
      </c>
      <c r="L245" s="43" t="s">
        <v>149</v>
      </c>
      <c r="M245" s="44">
        <v>44618</v>
      </c>
      <c r="N245" s="45">
        <v>1399.98</v>
      </c>
      <c r="O245" s="43" t="str">
        <f t="shared" si="30"/>
        <v>OK</v>
      </c>
      <c r="P245" s="44">
        <f t="shared" si="31"/>
        <v>45777</v>
      </c>
      <c r="Q245" s="43" t="str">
        <f t="shared" si="32"/>
        <v>Apr-25</v>
      </c>
      <c r="R245" s="43">
        <f t="shared" si="33"/>
        <v>3</v>
      </c>
      <c r="S245" s="43">
        <f t="shared" si="34"/>
        <v>37</v>
      </c>
      <c r="T245" s="43">
        <f t="shared" ca="1" si="35"/>
        <v>570</v>
      </c>
      <c r="U245" s="43" t="str">
        <f t="shared" si="36"/>
        <v>CP</v>
      </c>
      <c r="V245" s="43" t="str">
        <f t="shared" si="37"/>
        <v>SMA</v>
      </c>
      <c r="W245" s="43" t="str">
        <f t="shared" si="38"/>
        <v>N-2504-068</v>
      </c>
      <c r="X245" s="43" t="str">
        <f>IF(COUNTIF($D$2:D245,D245)&gt;1,"Repeat","First")</f>
        <v>Repeat</v>
      </c>
      <c r="Y245" s="43" t="str">
        <f>IF(AND(K245=Filter!$B$4,N245&gt;=Filter!$B$5),MAX(Y$1:Y244)+1,"")</f>
        <v/>
      </c>
      <c r="Z245" s="43" t="str">
        <f t="shared" si="39"/>
        <v>2025-04</v>
      </c>
    </row>
    <row r="246" spans="1:26" x14ac:dyDescent="0.2">
      <c r="A246" s="43" t="s">
        <v>493</v>
      </c>
      <c r="B246" s="44">
        <v>45749</v>
      </c>
      <c r="C246" s="43" t="s">
        <v>224</v>
      </c>
      <c r="D246" s="43" t="s">
        <v>225</v>
      </c>
      <c r="E246" s="43" t="s">
        <v>168</v>
      </c>
      <c r="F246" s="43" t="s">
        <v>87</v>
      </c>
      <c r="G246" s="43" t="s">
        <v>67</v>
      </c>
      <c r="H246" s="43">
        <v>3</v>
      </c>
      <c r="I246" s="45">
        <v>899.99</v>
      </c>
      <c r="J246" s="43" t="s">
        <v>63</v>
      </c>
      <c r="K246" s="43" t="s">
        <v>61</v>
      </c>
      <c r="L246" s="43" t="s">
        <v>149</v>
      </c>
      <c r="M246" s="44">
        <v>44953</v>
      </c>
      <c r="N246" s="45">
        <v>2699.97</v>
      </c>
      <c r="O246" s="43" t="str">
        <f t="shared" si="30"/>
        <v>OK</v>
      </c>
      <c r="P246" s="44">
        <f t="shared" si="31"/>
        <v>45777</v>
      </c>
      <c r="Q246" s="43" t="str">
        <f t="shared" si="32"/>
        <v>Apr-25</v>
      </c>
      <c r="R246" s="43">
        <f t="shared" si="33"/>
        <v>2</v>
      </c>
      <c r="S246" s="43">
        <f t="shared" si="34"/>
        <v>26</v>
      </c>
      <c r="T246" s="43">
        <f t="shared" ca="1" si="35"/>
        <v>569</v>
      </c>
      <c r="U246" s="43" t="str">
        <f t="shared" si="36"/>
        <v>EM</v>
      </c>
      <c r="V246" s="43" t="str">
        <f t="shared" si="37"/>
        <v>LAP</v>
      </c>
      <c r="W246" s="43" t="str">
        <f t="shared" si="38"/>
        <v>C-2504-144</v>
      </c>
      <c r="X246" s="43" t="str">
        <f>IF(COUNTIF($D$2:D246,D246)&gt;1,"Repeat","First")</f>
        <v>Repeat</v>
      </c>
      <c r="Y246" s="43" t="str">
        <f>IF(AND(K246=Filter!$B$4,N246&gt;=Filter!$B$5),MAX(Y$1:Y245)+1,"")</f>
        <v/>
      </c>
      <c r="Z246" s="43" t="str">
        <f t="shared" si="39"/>
        <v>2025-04</v>
      </c>
    </row>
    <row r="247" spans="1:26" x14ac:dyDescent="0.2">
      <c r="A247" s="43" t="s">
        <v>494</v>
      </c>
      <c r="B247" s="44">
        <v>45755</v>
      </c>
      <c r="C247" s="43" t="s">
        <v>197</v>
      </c>
      <c r="D247" s="43" t="s">
        <v>198</v>
      </c>
      <c r="E247" s="43" t="s">
        <v>217</v>
      </c>
      <c r="F247" s="43" t="s">
        <v>75</v>
      </c>
      <c r="G247" s="43" t="s">
        <v>62</v>
      </c>
      <c r="H247" s="43">
        <v>3</v>
      </c>
      <c r="I247" s="45">
        <v>79.989999999999995</v>
      </c>
      <c r="J247" s="43" t="s">
        <v>68</v>
      </c>
      <c r="K247" s="43" t="s">
        <v>71</v>
      </c>
      <c r="L247" s="43" t="s">
        <v>140</v>
      </c>
      <c r="M247" s="44">
        <v>44511</v>
      </c>
      <c r="N247" s="45">
        <v>239.97</v>
      </c>
      <c r="O247" s="43" t="str">
        <f t="shared" si="30"/>
        <v>OK</v>
      </c>
      <c r="P247" s="44">
        <f t="shared" si="31"/>
        <v>45777</v>
      </c>
      <c r="Q247" s="43" t="str">
        <f t="shared" si="32"/>
        <v>Apr-25</v>
      </c>
      <c r="R247" s="43">
        <f t="shared" si="33"/>
        <v>3</v>
      </c>
      <c r="S247" s="43">
        <f t="shared" si="34"/>
        <v>40</v>
      </c>
      <c r="T247" s="43">
        <f t="shared" ca="1" si="35"/>
        <v>563</v>
      </c>
      <c r="U247" s="43" t="str">
        <f t="shared" si="36"/>
        <v>VS</v>
      </c>
      <c r="V247" s="43" t="str">
        <f t="shared" si="37"/>
        <v>COF</v>
      </c>
      <c r="W247" s="43" t="str">
        <f t="shared" si="38"/>
        <v>N-2504-039</v>
      </c>
      <c r="X247" s="43" t="str">
        <f>IF(COUNTIF($D$2:D247,D247)&gt;1,"Repeat","First")</f>
        <v>Repeat</v>
      </c>
      <c r="Y247" s="43" t="str">
        <f>IF(AND(K247=Filter!$B$4,N247&gt;=Filter!$B$5),MAX(Y$1:Y246)+1,"")</f>
        <v/>
      </c>
      <c r="Z247" s="43" t="str">
        <f t="shared" si="39"/>
        <v>2025-04</v>
      </c>
    </row>
    <row r="248" spans="1:26" x14ac:dyDescent="0.2">
      <c r="A248" s="43" t="s">
        <v>495</v>
      </c>
      <c r="B248" s="44">
        <v>45756</v>
      </c>
      <c r="C248" s="43" t="s">
        <v>166</v>
      </c>
      <c r="D248" s="43" t="s">
        <v>167</v>
      </c>
      <c r="E248" s="43" t="s">
        <v>219</v>
      </c>
      <c r="F248" s="43" t="s">
        <v>85</v>
      </c>
      <c r="G248" s="43" t="s">
        <v>67</v>
      </c>
      <c r="H248" s="43">
        <v>1</v>
      </c>
      <c r="I248" s="45">
        <v>89.99</v>
      </c>
      <c r="J248" s="43" t="s">
        <v>73</v>
      </c>
      <c r="K248" s="43" t="s">
        <v>66</v>
      </c>
      <c r="L248" s="43" t="s">
        <v>140</v>
      </c>
      <c r="M248" s="44">
        <v>45346</v>
      </c>
      <c r="N248" s="45">
        <v>89.99</v>
      </c>
      <c r="O248" s="43" t="str">
        <f t="shared" si="30"/>
        <v>OK</v>
      </c>
      <c r="P248" s="44">
        <f t="shared" si="31"/>
        <v>45777</v>
      </c>
      <c r="Q248" s="43" t="str">
        <f t="shared" si="32"/>
        <v>Apr-25</v>
      </c>
      <c r="R248" s="43">
        <f t="shared" si="33"/>
        <v>1</v>
      </c>
      <c r="S248" s="43">
        <f t="shared" si="34"/>
        <v>13</v>
      </c>
      <c r="T248" s="43">
        <f t="shared" ca="1" si="35"/>
        <v>562</v>
      </c>
      <c r="U248" s="43" t="str">
        <f t="shared" si="36"/>
        <v>RT</v>
      </c>
      <c r="V248" s="43" t="str">
        <f t="shared" si="37"/>
        <v>KEY</v>
      </c>
      <c r="W248" s="43" t="str">
        <f t="shared" si="38"/>
        <v>E-2504-116</v>
      </c>
      <c r="X248" s="43" t="str">
        <f>IF(COUNTIF($D$2:D248,D248)&gt;1,"Repeat","First")</f>
        <v>Repeat</v>
      </c>
      <c r="Y248" s="43" t="str">
        <f>IF(AND(K248=Filter!$B$4,N248&gt;=Filter!$B$5),MAX(Y$1:Y247)+1,"")</f>
        <v/>
      </c>
      <c r="Z248" s="43" t="str">
        <f t="shared" si="39"/>
        <v>2025-04</v>
      </c>
    </row>
    <row r="249" spans="1:26" x14ac:dyDescent="0.2">
      <c r="A249" s="43" t="s">
        <v>496</v>
      </c>
      <c r="B249" s="44">
        <v>45758</v>
      </c>
      <c r="C249" s="43" t="s">
        <v>393</v>
      </c>
      <c r="D249" s="43" t="s">
        <v>394</v>
      </c>
      <c r="E249" s="43" t="s">
        <v>185</v>
      </c>
      <c r="F249" s="43" t="s">
        <v>93</v>
      </c>
      <c r="G249" s="43" t="s">
        <v>67</v>
      </c>
      <c r="H249" s="43">
        <v>3</v>
      </c>
      <c r="I249" s="45">
        <v>699.99</v>
      </c>
      <c r="J249" s="43" t="s">
        <v>78</v>
      </c>
      <c r="K249" s="43" t="s">
        <v>71</v>
      </c>
      <c r="L249" s="43" t="s">
        <v>140</v>
      </c>
      <c r="M249" s="44">
        <v>44909</v>
      </c>
      <c r="N249" s="45">
        <v>2099.9699999999998</v>
      </c>
      <c r="O249" s="43" t="str">
        <f t="shared" si="30"/>
        <v>OK</v>
      </c>
      <c r="P249" s="44">
        <f t="shared" si="31"/>
        <v>45777</v>
      </c>
      <c r="Q249" s="43" t="str">
        <f t="shared" si="32"/>
        <v>Apr-25</v>
      </c>
      <c r="R249" s="43">
        <f t="shared" si="33"/>
        <v>2</v>
      </c>
      <c r="S249" s="43">
        <f t="shared" si="34"/>
        <v>27</v>
      </c>
      <c r="T249" s="43">
        <f t="shared" ca="1" si="35"/>
        <v>560</v>
      </c>
      <c r="U249" s="43" t="str">
        <f t="shared" si="36"/>
        <v>DW</v>
      </c>
      <c r="V249" s="43" t="str">
        <f t="shared" si="37"/>
        <v>SMA</v>
      </c>
      <c r="W249" s="43" t="str">
        <f t="shared" si="38"/>
        <v>N-2504-120</v>
      </c>
      <c r="X249" s="43" t="str">
        <f>IF(COUNTIF($D$2:D249,D249)&gt;1,"Repeat","First")</f>
        <v>Repeat</v>
      </c>
      <c r="Y249" s="43" t="str">
        <f>IF(AND(K249=Filter!$B$4,N249&gt;=Filter!$B$5),MAX(Y$1:Y248)+1,"")</f>
        <v/>
      </c>
      <c r="Z249" s="43" t="str">
        <f t="shared" si="39"/>
        <v>2025-04</v>
      </c>
    </row>
    <row r="250" spans="1:26" x14ac:dyDescent="0.2">
      <c r="A250" s="43" t="s">
        <v>497</v>
      </c>
      <c r="B250" s="44">
        <v>45758</v>
      </c>
      <c r="C250" s="43" t="s">
        <v>326</v>
      </c>
      <c r="D250" s="43" t="s">
        <v>327</v>
      </c>
      <c r="E250" s="43" t="s">
        <v>219</v>
      </c>
      <c r="F250" s="43" t="s">
        <v>85</v>
      </c>
      <c r="G250" s="43" t="s">
        <v>67</v>
      </c>
      <c r="H250" s="43">
        <v>2</v>
      </c>
      <c r="I250" s="45">
        <v>89.99</v>
      </c>
      <c r="J250" s="43" t="s">
        <v>73</v>
      </c>
      <c r="K250" s="43" t="s">
        <v>66</v>
      </c>
      <c r="L250" s="43" t="s">
        <v>140</v>
      </c>
      <c r="M250" s="44">
        <v>45088</v>
      </c>
      <c r="N250" s="45">
        <v>179.98</v>
      </c>
      <c r="O250" s="43" t="str">
        <f t="shared" si="30"/>
        <v>OK</v>
      </c>
      <c r="P250" s="44">
        <f t="shared" si="31"/>
        <v>45777</v>
      </c>
      <c r="Q250" s="43" t="str">
        <f t="shared" si="32"/>
        <v>Apr-25</v>
      </c>
      <c r="R250" s="43">
        <f t="shared" si="33"/>
        <v>1</v>
      </c>
      <c r="S250" s="43">
        <f t="shared" si="34"/>
        <v>22</v>
      </c>
      <c r="T250" s="43">
        <f t="shared" ca="1" si="35"/>
        <v>560</v>
      </c>
      <c r="U250" s="43" t="str">
        <f t="shared" si="36"/>
        <v>LR</v>
      </c>
      <c r="V250" s="43" t="str">
        <f t="shared" si="37"/>
        <v>KEY</v>
      </c>
      <c r="W250" s="43" t="str">
        <f t="shared" si="38"/>
        <v>E-2504-103</v>
      </c>
      <c r="X250" s="43" t="str">
        <f>IF(COUNTIF($D$2:D250,D250)&gt;1,"Repeat","First")</f>
        <v>Repeat</v>
      </c>
      <c r="Y250" s="43" t="str">
        <f>IF(AND(K250=Filter!$B$4,N250&gt;=Filter!$B$5),MAX(Y$1:Y249)+1,"")</f>
        <v/>
      </c>
      <c r="Z250" s="43" t="str">
        <f t="shared" si="39"/>
        <v>2025-04</v>
      </c>
    </row>
    <row r="251" spans="1:26" x14ac:dyDescent="0.2">
      <c r="A251" s="43" t="s">
        <v>498</v>
      </c>
      <c r="B251" s="44">
        <v>45758</v>
      </c>
      <c r="C251" s="43" t="s">
        <v>238</v>
      </c>
      <c r="D251" s="43" t="s">
        <v>239</v>
      </c>
      <c r="E251" s="43" t="s">
        <v>219</v>
      </c>
      <c r="F251" s="43" t="s">
        <v>85</v>
      </c>
      <c r="G251" s="43" t="s">
        <v>67</v>
      </c>
      <c r="H251" s="43">
        <v>3</v>
      </c>
      <c r="I251" s="45">
        <v>89.99</v>
      </c>
      <c r="J251" s="43" t="s">
        <v>73</v>
      </c>
      <c r="K251" s="43" t="s">
        <v>71</v>
      </c>
      <c r="L251" s="43" t="s">
        <v>144</v>
      </c>
      <c r="M251" s="44">
        <v>44878</v>
      </c>
      <c r="N251" s="45">
        <v>269.97000000000003</v>
      </c>
      <c r="O251" s="43" t="str">
        <f t="shared" si="30"/>
        <v>OK</v>
      </c>
      <c r="P251" s="44">
        <f t="shared" si="31"/>
        <v>45777</v>
      </c>
      <c r="Q251" s="43" t="str">
        <f t="shared" si="32"/>
        <v>Apr-25</v>
      </c>
      <c r="R251" s="43">
        <f t="shared" si="33"/>
        <v>2</v>
      </c>
      <c r="S251" s="43">
        <f t="shared" si="34"/>
        <v>28</v>
      </c>
      <c r="T251" s="43">
        <f t="shared" ca="1" si="35"/>
        <v>560</v>
      </c>
      <c r="U251" s="43" t="str">
        <f t="shared" si="36"/>
        <v>ST</v>
      </c>
      <c r="V251" s="43" t="str">
        <f t="shared" si="37"/>
        <v>KEY</v>
      </c>
      <c r="W251" s="43" t="str">
        <f t="shared" si="38"/>
        <v>N-2504-064</v>
      </c>
      <c r="X251" s="43" t="str">
        <f>IF(COUNTIF($D$2:D251,D251)&gt;1,"Repeat","First")</f>
        <v>Repeat</v>
      </c>
      <c r="Y251" s="43" t="str">
        <f>IF(AND(K251=Filter!$B$4,N251&gt;=Filter!$B$5),MAX(Y$1:Y250)+1,"")</f>
        <v/>
      </c>
      <c r="Z251" s="43" t="str">
        <f t="shared" si="39"/>
        <v>2025-04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BFBF"/>
  </sheetPr>
  <dimension ref="A1:H131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44" customWidth="1"/>
    <col min="2" max="2" width="24" customWidth="1"/>
    <col min="3" max="5" width="15" customWidth="1"/>
    <col min="6" max="6" width="11" customWidth="1"/>
    <col min="7" max="7" width="10" customWidth="1"/>
  </cols>
  <sheetData>
    <row r="1" spans="1:8" ht="20" x14ac:dyDescent="0.2">
      <c r="A1" s="15" t="s">
        <v>499</v>
      </c>
    </row>
    <row r="3" spans="1:8" x14ac:dyDescent="0.2">
      <c r="A3" s="46" t="s">
        <v>500</v>
      </c>
      <c r="B3" s="47"/>
      <c r="C3" s="47"/>
      <c r="D3" s="47"/>
      <c r="E3" s="47"/>
      <c r="F3" s="47"/>
      <c r="G3" s="47"/>
      <c r="H3" s="47"/>
    </row>
    <row r="4" spans="1:8" x14ac:dyDescent="0.2">
      <c r="A4" s="43" t="s">
        <v>501</v>
      </c>
      <c r="B4" s="44">
        <f ca="1">TODAY()</f>
        <v>46318</v>
      </c>
    </row>
    <row r="5" spans="1:8" x14ac:dyDescent="0.2">
      <c r="A5" s="43" t="s">
        <v>502</v>
      </c>
      <c r="B5" s="48">
        <f ca="1">NOW()</f>
        <v>46318.648326273149</v>
      </c>
    </row>
    <row r="6" spans="1:8" x14ac:dyDescent="0.2">
      <c r="A6" s="43" t="s">
        <v>503</v>
      </c>
      <c r="B6" s="44">
        <f ca="1">EOMONTH(TODAY(),0)</f>
        <v>46326</v>
      </c>
    </row>
    <row r="7" spans="1:8" x14ac:dyDescent="0.2">
      <c r="A7" s="43" t="s">
        <v>504</v>
      </c>
      <c r="B7" s="44">
        <f ca="1">EOMONTH(TODAY(),-1)+1</f>
        <v>46296</v>
      </c>
    </row>
    <row r="8" spans="1:8" x14ac:dyDescent="0.2">
      <c r="A8" s="43" t="s">
        <v>505</v>
      </c>
      <c r="B8" s="44">
        <f>MIN('Raw Data'!$B$2:$B$251)</f>
        <v>45393</v>
      </c>
    </row>
    <row r="9" spans="1:8" x14ac:dyDescent="0.2">
      <c r="A9" s="43" t="s">
        <v>506</v>
      </c>
      <c r="B9" s="44">
        <f>MAX('Raw Data'!$B$2:$B$251)</f>
        <v>45758</v>
      </c>
    </row>
    <row r="10" spans="1:8" x14ac:dyDescent="0.2">
      <c r="A10" s="43" t="s">
        <v>507</v>
      </c>
      <c r="B10" s="49">
        <f>DATEDIF(B8,B9,"M")</f>
        <v>12</v>
      </c>
    </row>
    <row r="11" spans="1:8" x14ac:dyDescent="0.2">
      <c r="A11" s="43" t="s">
        <v>508</v>
      </c>
      <c r="B11" s="50">
        <f ca="1">TODAY()-B9</f>
        <v>560</v>
      </c>
    </row>
    <row r="12" spans="1:8" x14ac:dyDescent="0.2">
      <c r="A12" s="43" t="s">
        <v>509</v>
      </c>
      <c r="B12" s="51">
        <f>AVERAGE('Raw Data'!$S$2:$S$251)/12</f>
        <v>1.9093333333333333</v>
      </c>
    </row>
    <row r="14" spans="1:8" x14ac:dyDescent="0.2">
      <c r="A14" s="46" t="s">
        <v>510</v>
      </c>
      <c r="B14" s="47"/>
      <c r="C14" s="47"/>
      <c r="D14" s="47"/>
      <c r="E14" s="47"/>
      <c r="F14" s="47"/>
      <c r="G14" s="47"/>
      <c r="H14" s="47"/>
    </row>
    <row r="15" spans="1:8" ht="28" x14ac:dyDescent="0.2">
      <c r="A15" s="17" t="s">
        <v>511</v>
      </c>
      <c r="B15" s="17" t="s">
        <v>512</v>
      </c>
    </row>
    <row r="16" spans="1:8" x14ac:dyDescent="0.2">
      <c r="A16" s="52" t="s">
        <v>513</v>
      </c>
      <c r="B16" s="48">
        <f ca="1">IF(A16="","",IF(OR(B16="",B16=0),NOW(),B16))</f>
        <v>46318.408708815499</v>
      </c>
    </row>
    <row r="17" spans="1:8" x14ac:dyDescent="0.2">
      <c r="A17" s="52" t="s">
        <v>514</v>
      </c>
      <c r="B17" s="48">
        <f ca="1">IF(A17="","",IF(OR(B17="",B17=0),NOW(),B17))</f>
        <v>46318.408708815703</v>
      </c>
    </row>
    <row r="18" spans="1:8" x14ac:dyDescent="0.2">
      <c r="A18" s="52" t="s">
        <v>515</v>
      </c>
      <c r="B18" s="48">
        <f ca="1">IF(A18="","",IF(OR(B18="",B18=0),NOW(),B18))</f>
        <v>46318.408708815798</v>
      </c>
    </row>
    <row r="19" spans="1:8" x14ac:dyDescent="0.2">
      <c r="A19" s="52"/>
      <c r="B19" s="48" t="str">
        <f ca="1">IF(A19="","",IF(OR(B19="",B19=0),NOW(),B19))</f>
        <v/>
      </c>
    </row>
    <row r="20" spans="1:8" x14ac:dyDescent="0.2">
      <c r="A20" s="52"/>
      <c r="B20" s="48" t="str">
        <f ca="1">IF(A20="","",IF(OR(B20="",B20=0),NOW(),B20))</f>
        <v/>
      </c>
    </row>
    <row r="21" spans="1:8" x14ac:dyDescent="0.2">
      <c r="A21" s="16" t="s">
        <v>516</v>
      </c>
    </row>
    <row r="23" spans="1:8" x14ac:dyDescent="0.2">
      <c r="A23" s="46" t="s">
        <v>517</v>
      </c>
      <c r="B23" s="47"/>
      <c r="C23" s="47"/>
      <c r="D23" s="47"/>
      <c r="E23" s="47"/>
      <c r="F23" s="47"/>
      <c r="G23" s="47"/>
      <c r="H23" s="47"/>
    </row>
    <row r="24" spans="1:8" x14ac:dyDescent="0.2">
      <c r="A24" s="43" t="s">
        <v>38</v>
      </c>
      <c r="B24" s="53">
        <f>SUM('Raw Data'!$N$2:$N$251)</f>
        <v>229192.47000000032</v>
      </c>
    </row>
    <row r="25" spans="1:8" x14ac:dyDescent="0.2">
      <c r="A25" s="43" t="s">
        <v>518</v>
      </c>
      <c r="B25" s="54">
        <f>COUNTA('Raw Data'!$A$2:$A$251)</f>
        <v>250</v>
      </c>
    </row>
    <row r="26" spans="1:8" x14ac:dyDescent="0.2">
      <c r="A26" s="43" t="s">
        <v>519</v>
      </c>
      <c r="B26" s="54">
        <f>SUM('Raw Data'!$H$2:$H$251)</f>
        <v>753</v>
      </c>
    </row>
    <row r="27" spans="1:8" x14ac:dyDescent="0.2">
      <c r="A27" s="43" t="s">
        <v>40</v>
      </c>
      <c r="B27" s="55">
        <f>B24/B25</f>
        <v>916.76988000000131</v>
      </c>
    </row>
    <row r="28" spans="1:8" x14ac:dyDescent="0.2">
      <c r="A28" s="43" t="s">
        <v>520</v>
      </c>
      <c r="B28" s="56">
        <f>COUNTA(Customers!A4:A53)</f>
        <v>50</v>
      </c>
    </row>
    <row r="29" spans="1:8" x14ac:dyDescent="0.2">
      <c r="A29" s="43" t="s">
        <v>521</v>
      </c>
      <c r="B29" s="56">
        <f>COUNTIF(Customers!J4:J53,"Repeat")</f>
        <v>47</v>
      </c>
    </row>
    <row r="30" spans="1:8" x14ac:dyDescent="0.2">
      <c r="A30" s="43" t="s">
        <v>41</v>
      </c>
      <c r="B30" s="57">
        <f>B29/B28</f>
        <v>0.94</v>
      </c>
    </row>
    <row r="31" spans="1:8" x14ac:dyDescent="0.2">
      <c r="A31" s="43" t="s">
        <v>522</v>
      </c>
      <c r="B31" s="57">
        <f>SUMIF(Customers!F4:F53,"&lt;=5",Customers!C4:C53)/B24</f>
        <v>0.24581387861477264</v>
      </c>
    </row>
    <row r="33" spans="1:8" x14ac:dyDescent="0.2">
      <c r="A33" s="46" t="s">
        <v>523</v>
      </c>
      <c r="B33" s="47"/>
      <c r="C33" s="47"/>
      <c r="D33" s="47"/>
      <c r="E33" s="47"/>
      <c r="F33" s="47"/>
      <c r="G33" s="47"/>
      <c r="H33" s="47"/>
    </row>
    <row r="34" spans="1:8" x14ac:dyDescent="0.2">
      <c r="A34" s="17" t="s">
        <v>119</v>
      </c>
      <c r="B34" s="17" t="s">
        <v>60</v>
      </c>
      <c r="C34" s="17" t="s">
        <v>39</v>
      </c>
      <c r="D34" s="17" t="s">
        <v>524</v>
      </c>
      <c r="E34" s="17" t="s">
        <v>525</v>
      </c>
      <c r="F34" s="17" t="s">
        <v>526</v>
      </c>
      <c r="G34" s="17" t="s">
        <v>527</v>
      </c>
    </row>
    <row r="35" spans="1:8" x14ac:dyDescent="0.2">
      <c r="A35" s="58" t="s">
        <v>168</v>
      </c>
      <c r="B35" s="58" t="str">
        <f>INDEX('Raw Data'!$F$2:$F$251,MATCH(A35,'Raw Data'!$E$2:$E$251,0))</f>
        <v>Laptop</v>
      </c>
      <c r="C35" s="58">
        <f>COUNTIF('Raw Data'!$E$2:$E$251,A35)</f>
        <v>24</v>
      </c>
      <c r="D35" s="58">
        <f>SUMIFS('Raw Data'!$H$2:$H$251,'Raw Data'!$E$2:$E$251,A35)</f>
        <v>75</v>
      </c>
      <c r="E35" s="59">
        <f>SUMIFS('Raw Data'!$N$2:$N$251,'Raw Data'!$E$2:$E$251,A35)</f>
        <v>67499.25</v>
      </c>
      <c r="F35" s="60">
        <f t="shared" ref="F35:F44" si="0">E35/$B$24</f>
        <v>0.29450902117333916</v>
      </c>
      <c r="G35" s="58">
        <f t="shared" ref="G35:G44" si="1">RANK(E35,$E$35:$E$44,0)</f>
        <v>1</v>
      </c>
    </row>
    <row r="36" spans="1:8" x14ac:dyDescent="0.2">
      <c r="A36" s="58" t="s">
        <v>185</v>
      </c>
      <c r="B36" s="58" t="str">
        <f>INDEX('Raw Data'!$F$2:$F$251,MATCH(A36,'Raw Data'!$E$2:$E$251,0))</f>
        <v>Smartphone</v>
      </c>
      <c r="C36" s="58">
        <f>COUNTIF('Raw Data'!$E$2:$E$251,A36)</f>
        <v>31</v>
      </c>
      <c r="D36" s="58">
        <f>SUMIFS('Raw Data'!$H$2:$H$251,'Raw Data'!$E$2:$E$251,A36)</f>
        <v>96</v>
      </c>
      <c r="E36" s="59">
        <f>SUMIFS('Raw Data'!$N$2:$N$251,'Raw Data'!$E$2:$E$251,A36)</f>
        <v>67199.039999999994</v>
      </c>
      <c r="F36" s="60">
        <f t="shared" si="0"/>
        <v>0.29319916138606078</v>
      </c>
      <c r="G36" s="58">
        <f t="shared" si="1"/>
        <v>2</v>
      </c>
    </row>
    <row r="37" spans="1:8" x14ac:dyDescent="0.2">
      <c r="A37" s="58" t="s">
        <v>161</v>
      </c>
      <c r="B37" s="58" t="str">
        <f>INDEX('Raw Data'!$F$2:$F$251,MATCH(A37,'Raw Data'!$E$2:$E$251,0))</f>
        <v>Headphones</v>
      </c>
      <c r="C37" s="58">
        <f>COUNTIF('Raw Data'!$E$2:$E$251,A37)</f>
        <v>16</v>
      </c>
      <c r="D37" s="58">
        <f>SUMIFS('Raw Data'!$H$2:$H$251,'Raw Data'!$E$2:$E$251,A37)</f>
        <v>47</v>
      </c>
      <c r="E37" s="59">
        <f>SUMIFS('Raw Data'!$N$2:$N$251,'Raw Data'!$E$2:$E$251,A37)</f>
        <v>7049.5299999999988</v>
      </c>
      <c r="F37" s="60">
        <f t="shared" si="0"/>
        <v>3.0758122201833198E-2</v>
      </c>
      <c r="G37" s="58">
        <f t="shared" si="1"/>
        <v>8</v>
      </c>
    </row>
    <row r="38" spans="1:8" x14ac:dyDescent="0.2">
      <c r="A38" s="58" t="s">
        <v>217</v>
      </c>
      <c r="B38" s="58" t="str">
        <f>INDEX('Raw Data'!$F$2:$F$251,MATCH(A38,'Raw Data'!$E$2:$E$251,0))</f>
        <v>Coffee Maker</v>
      </c>
      <c r="C38" s="58">
        <f>COUNTIF('Raw Data'!$E$2:$E$251,A38)</f>
        <v>14</v>
      </c>
      <c r="D38" s="58">
        <f>SUMIFS('Raw Data'!$H$2:$H$251,'Raw Data'!$E$2:$E$251,A38)</f>
        <v>39</v>
      </c>
      <c r="E38" s="59">
        <f>SUMIFS('Raw Data'!$N$2:$N$251,'Raw Data'!$E$2:$E$251,A38)</f>
        <v>3119.6099999999992</v>
      </c>
      <c r="F38" s="60">
        <f t="shared" si="0"/>
        <v>1.3611311052234809E-2</v>
      </c>
      <c r="G38" s="58">
        <f t="shared" si="1"/>
        <v>10</v>
      </c>
    </row>
    <row r="39" spans="1:8" x14ac:dyDescent="0.2">
      <c r="A39" s="58" t="s">
        <v>148</v>
      </c>
      <c r="B39" s="58" t="str">
        <f>INDEX('Raw Data'!$F$2:$F$251,MATCH(A39,'Raw Data'!$E$2:$E$251,0))</f>
        <v>Blender</v>
      </c>
      <c r="C39" s="58">
        <f>COUNTIF('Raw Data'!$E$2:$E$251,A39)</f>
        <v>29</v>
      </c>
      <c r="D39" s="58">
        <f>SUMIFS('Raw Data'!$H$2:$H$251,'Raw Data'!$E$2:$E$251,A39)</f>
        <v>87</v>
      </c>
      <c r="E39" s="59">
        <f>SUMIFS('Raw Data'!$N$2:$N$251,'Raw Data'!$E$2:$E$251,A39)</f>
        <v>5219.1299999999974</v>
      </c>
      <c r="F39" s="60">
        <f t="shared" si="0"/>
        <v>2.2771821430258986E-2</v>
      </c>
      <c r="G39" s="58">
        <f t="shared" si="1"/>
        <v>9</v>
      </c>
    </row>
    <row r="40" spans="1:8" x14ac:dyDescent="0.2">
      <c r="A40" s="58" t="s">
        <v>227</v>
      </c>
      <c r="B40" s="58" t="str">
        <f>INDEX('Raw Data'!$F$2:$F$251,MATCH(A40,'Raw Data'!$E$2:$E$251,0))</f>
        <v>Office Chair</v>
      </c>
      <c r="C40" s="58">
        <f>COUNTIF('Raw Data'!$E$2:$E$251,A40)</f>
        <v>15</v>
      </c>
      <c r="D40" s="58">
        <f>SUMIFS('Raw Data'!$H$2:$H$251,'Raw Data'!$E$2:$E$251,A40)</f>
        <v>52</v>
      </c>
      <c r="E40" s="59">
        <f>SUMIFS('Raw Data'!$N$2:$N$251,'Raw Data'!$E$2:$E$251,A40)</f>
        <v>10399.479999999998</v>
      </c>
      <c r="F40" s="60">
        <f t="shared" si="0"/>
        <v>4.5374440093952403E-2</v>
      </c>
      <c r="G40" s="58">
        <f t="shared" si="1"/>
        <v>6</v>
      </c>
    </row>
    <row r="41" spans="1:8" x14ac:dyDescent="0.2">
      <c r="A41" s="58" t="s">
        <v>209</v>
      </c>
      <c r="B41" s="58" t="str">
        <f>INDEX('Raw Data'!$F$2:$F$251,MATCH(A41,'Raw Data'!$E$2:$E$251,0))</f>
        <v>Desk</v>
      </c>
      <c r="C41" s="58">
        <f>COUNTIF('Raw Data'!$E$2:$E$251,A41)</f>
        <v>26</v>
      </c>
      <c r="D41" s="58">
        <f>SUMIFS('Raw Data'!$H$2:$H$251,'Raw Data'!$E$2:$E$251,A41)</f>
        <v>78</v>
      </c>
      <c r="E41" s="59">
        <f>SUMIFS('Raw Data'!$N$2:$N$251,'Raw Data'!$E$2:$E$251,A41)</f>
        <v>23399.22</v>
      </c>
      <c r="F41" s="60">
        <f t="shared" si="0"/>
        <v>0.10209419183797779</v>
      </c>
      <c r="G41" s="58">
        <f t="shared" si="1"/>
        <v>3</v>
      </c>
    </row>
    <row r="42" spans="1:8" x14ac:dyDescent="0.2">
      <c r="A42" s="58" t="s">
        <v>156</v>
      </c>
      <c r="B42" s="58" t="str">
        <f>INDEX('Raw Data'!$F$2:$F$251,MATCH(A42,'Raw Data'!$E$2:$E$251,0))</f>
        <v>Bookshelf</v>
      </c>
      <c r="C42" s="58">
        <f>COUNTIF('Raw Data'!$E$2:$E$251,A42)</f>
        <v>35</v>
      </c>
      <c r="D42" s="58">
        <f>SUMIFS('Raw Data'!$H$2:$H$251,'Raw Data'!$E$2:$E$251,A42)</f>
        <v>102</v>
      </c>
      <c r="E42" s="59">
        <f>SUMIFS('Raw Data'!$N$2:$N$251,'Raw Data'!$E$2:$E$251,A42)</f>
        <v>15298.979999999994</v>
      </c>
      <c r="F42" s="60">
        <f t="shared" si="0"/>
        <v>6.6751669459297558E-2</v>
      </c>
      <c r="G42" s="58">
        <f t="shared" si="1"/>
        <v>5</v>
      </c>
    </row>
    <row r="43" spans="1:8" x14ac:dyDescent="0.2">
      <c r="A43" s="58" t="s">
        <v>139</v>
      </c>
      <c r="B43" s="58" t="str">
        <f>INDEX('Raw Data'!$F$2:$F$251,MATCH(A43,'Raw Data'!$E$2:$E$251,0))</f>
        <v>Monitor</v>
      </c>
      <c r="C43" s="58">
        <f>COUNTIF('Raw Data'!$E$2:$E$251,A43)</f>
        <v>26</v>
      </c>
      <c r="D43" s="58">
        <f>SUMIFS('Raw Data'!$H$2:$H$251,'Raw Data'!$E$2:$E$251,A43)</f>
        <v>88</v>
      </c>
      <c r="E43" s="59">
        <f>SUMIFS('Raw Data'!$N$2:$N$251,'Raw Data'!$E$2:$E$251,A43)</f>
        <v>21999.119999999999</v>
      </c>
      <c r="F43" s="60">
        <f t="shared" si="0"/>
        <v>9.5985352398357454E-2</v>
      </c>
      <c r="G43" s="58">
        <f t="shared" si="1"/>
        <v>4</v>
      </c>
    </row>
    <row r="44" spans="1:8" x14ac:dyDescent="0.2">
      <c r="A44" s="58" t="s">
        <v>219</v>
      </c>
      <c r="B44" s="58" t="str">
        <f>INDEX('Raw Data'!$F$2:$F$251,MATCH(A44,'Raw Data'!$E$2:$E$251,0))</f>
        <v>Keyboard</v>
      </c>
      <c r="C44" s="58">
        <f>COUNTIF('Raw Data'!$E$2:$E$251,A44)</f>
        <v>34</v>
      </c>
      <c r="D44" s="58">
        <f>SUMIFS('Raw Data'!$H$2:$H$251,'Raw Data'!$E$2:$E$251,A44)</f>
        <v>89</v>
      </c>
      <c r="E44" s="59">
        <f>SUMIFS('Raw Data'!$N$2:$N$251,'Raw Data'!$E$2:$E$251,A44)</f>
        <v>8009.1099999999969</v>
      </c>
      <c r="F44" s="60">
        <f t="shared" si="0"/>
        <v>3.4944908966686318E-2</v>
      </c>
      <c r="G44" s="58">
        <f t="shared" si="1"/>
        <v>7</v>
      </c>
    </row>
    <row r="45" spans="1:8" x14ac:dyDescent="0.2">
      <c r="A45" s="61" t="s">
        <v>528</v>
      </c>
      <c r="B45" s="61"/>
      <c r="C45" s="61">
        <f>SUM(C35:C44)</f>
        <v>250</v>
      </c>
      <c r="D45" s="61">
        <f>SUM(D35:D44)</f>
        <v>753</v>
      </c>
      <c r="E45" s="62">
        <f>SUM(E35:E44)</f>
        <v>229192.46999999994</v>
      </c>
      <c r="F45" s="63">
        <f>SUM(F35:F44)</f>
        <v>0.99999999999999845</v>
      </c>
      <c r="G45" s="61"/>
    </row>
    <row r="47" spans="1:8" x14ac:dyDescent="0.2">
      <c r="A47" s="43" t="s">
        <v>529</v>
      </c>
      <c r="B47" s="19" t="str">
        <f>INDEX(B35:B44,MATCH(MAX(C35:C44),C35:C44,0))</f>
        <v>Bookshelf</v>
      </c>
    </row>
    <row r="48" spans="1:8" x14ac:dyDescent="0.2">
      <c r="A48" s="43" t="s">
        <v>530</v>
      </c>
      <c r="B48" s="19" t="str">
        <f>INDEX(B35:B44,MATCH(MAX(D35:D44),D35:D44,0))</f>
        <v>Bookshelf</v>
      </c>
    </row>
    <row r="49" spans="1:8" x14ac:dyDescent="0.2">
      <c r="A49" s="43" t="s">
        <v>531</v>
      </c>
      <c r="B49" s="19" t="str">
        <f>INDEX(B35:B44,MATCH(MAX(E35:E44),E35:E44,0))</f>
        <v>Laptop</v>
      </c>
    </row>
    <row r="50" spans="1:8" x14ac:dyDescent="0.2">
      <c r="A50" s="43" t="s">
        <v>532</v>
      </c>
      <c r="B50" s="19" t="str">
        <f>INDEX(Customers!B4:B53,MATCH(MAX(Customers!D4:D53),Customers!D4:D53,0))</f>
        <v>Mark Carter</v>
      </c>
    </row>
    <row r="51" spans="1:8" x14ac:dyDescent="0.2">
      <c r="A51" s="43" t="s">
        <v>533</v>
      </c>
      <c r="B51" s="19" t="str">
        <f>INDEX(Customers!B4:B53,MATCH(1,Customers!F4:F53,0))</f>
        <v>Mark Carter</v>
      </c>
    </row>
    <row r="54" spans="1:8" x14ac:dyDescent="0.2">
      <c r="A54" s="46" t="s">
        <v>534</v>
      </c>
      <c r="B54" s="47"/>
      <c r="C54" s="47"/>
      <c r="D54" s="47"/>
      <c r="E54" s="47"/>
      <c r="F54" s="47"/>
      <c r="G54" s="47"/>
      <c r="H54" s="47"/>
    </row>
    <row r="55" spans="1:8" x14ac:dyDescent="0.2">
      <c r="A55" s="17" t="s">
        <v>55</v>
      </c>
      <c r="B55" s="17" t="s">
        <v>39</v>
      </c>
      <c r="C55" s="17" t="s">
        <v>525</v>
      </c>
      <c r="D55" s="17" t="s">
        <v>526</v>
      </c>
      <c r="E55" s="17" t="s">
        <v>535</v>
      </c>
      <c r="F55" s="17" t="s">
        <v>527</v>
      </c>
    </row>
    <row r="56" spans="1:8" x14ac:dyDescent="0.2">
      <c r="A56" s="58" t="s">
        <v>61</v>
      </c>
      <c r="B56" s="58">
        <f>COUNTIF('Raw Data'!$K$2:$K$251,A56)</f>
        <v>54</v>
      </c>
      <c r="C56" s="59">
        <f>SUMIFS('Raw Data'!$N$2:$N$251,'Raw Data'!$K$2:$K$251,A56)</f>
        <v>41288.340000000018</v>
      </c>
      <c r="D56" s="60">
        <f>C56/$B$24</f>
        <v>0.18014701791904403</v>
      </c>
      <c r="E56" s="59">
        <f>IF(B56=0,0,C56/B56)</f>
        <v>764.59888888888918</v>
      </c>
      <c r="F56" s="58">
        <f>RANK(C56,$C$56:$C$60,0)</f>
        <v>4</v>
      </c>
    </row>
    <row r="57" spans="1:8" x14ac:dyDescent="0.2">
      <c r="A57" s="58" t="s">
        <v>66</v>
      </c>
      <c r="B57" s="58">
        <f>COUNTIF('Raw Data'!$K$2:$K$251,A57)</f>
        <v>48</v>
      </c>
      <c r="C57" s="59">
        <f>SUMIFS('Raw Data'!$N$2:$N$251,'Raw Data'!$K$2:$K$251,A57)</f>
        <v>59288.389999999992</v>
      </c>
      <c r="D57" s="60">
        <f>C57/$B$24</f>
        <v>0.25868384768487335</v>
      </c>
      <c r="E57" s="59">
        <f>IF(B57=0,0,C57/B57)</f>
        <v>1235.1747916666666</v>
      </c>
      <c r="F57" s="58">
        <f>RANK(C57,$C$56:$C$60,0)</f>
        <v>1</v>
      </c>
    </row>
    <row r="58" spans="1:8" x14ac:dyDescent="0.2">
      <c r="A58" s="58" t="s">
        <v>71</v>
      </c>
      <c r="B58" s="58">
        <f>COUNTIF('Raw Data'!$K$2:$K$251,A58)</f>
        <v>59</v>
      </c>
      <c r="C58" s="59">
        <f>SUMIFS('Raw Data'!$N$2:$N$251,'Raw Data'!$K$2:$K$251,A58)</f>
        <v>50808.310000000012</v>
      </c>
      <c r="D58" s="60">
        <f>C58/$B$24</f>
        <v>0.22168402827544875</v>
      </c>
      <c r="E58" s="59">
        <f>IF(B58=0,0,C58/B58)</f>
        <v>861.15779661016973</v>
      </c>
      <c r="F58" s="58">
        <f>RANK(C58,$C$56:$C$60,0)</f>
        <v>2</v>
      </c>
    </row>
    <row r="59" spans="1:8" x14ac:dyDescent="0.2">
      <c r="A59" s="58" t="s">
        <v>76</v>
      </c>
      <c r="B59" s="58">
        <f>COUNTIF('Raw Data'!$K$2:$K$251,A59)</f>
        <v>42</v>
      </c>
      <c r="C59" s="59">
        <f>SUMIFS('Raw Data'!$N$2:$N$251,'Raw Data'!$K$2:$K$251,A59)</f>
        <v>36398.750000000007</v>
      </c>
      <c r="D59" s="60">
        <f>C59/$B$24</f>
        <v>0.15881302732153441</v>
      </c>
      <c r="E59" s="59">
        <f>IF(B59=0,0,C59/B59)</f>
        <v>866.63690476190493</v>
      </c>
      <c r="F59" s="58">
        <f>RANK(C59,$C$56:$C$60,0)</f>
        <v>5</v>
      </c>
    </row>
    <row r="60" spans="1:8" x14ac:dyDescent="0.2">
      <c r="A60" s="58" t="s">
        <v>81</v>
      </c>
      <c r="B60" s="58">
        <f>COUNTIF('Raw Data'!$K$2:$K$251,A60)</f>
        <v>47</v>
      </c>
      <c r="C60" s="59">
        <f>SUMIFS('Raw Data'!$N$2:$N$251,'Raw Data'!$K$2:$K$251,A60)</f>
        <v>41408.680000000015</v>
      </c>
      <c r="D60" s="60">
        <f>C60/$B$24</f>
        <v>0.18067207879909822</v>
      </c>
      <c r="E60" s="59">
        <f>IF(B60=0,0,C60/B60)</f>
        <v>881.03574468085139</v>
      </c>
      <c r="F60" s="58">
        <f>RANK(C60,$C$56:$C$60,0)</f>
        <v>3</v>
      </c>
    </row>
    <row r="61" spans="1:8" x14ac:dyDescent="0.2">
      <c r="A61" s="61" t="s">
        <v>528</v>
      </c>
      <c r="B61" s="61">
        <f>SUM(B56:B60)</f>
        <v>250</v>
      </c>
      <c r="C61" s="62">
        <f>SUM(C56:C60)</f>
        <v>229192.47000000006</v>
      </c>
      <c r="D61" s="63">
        <f>SUM(D56:D60)</f>
        <v>0.99999999999999878</v>
      </c>
      <c r="E61" s="62"/>
      <c r="F61" s="61"/>
    </row>
    <row r="62" spans="1:8" x14ac:dyDescent="0.2">
      <c r="A62" s="43" t="s">
        <v>536</v>
      </c>
      <c r="B62" s="19" t="str">
        <f>INDEX(A56:A60,MATCH(MAX(C56:C60),C56:C60,0))</f>
        <v>East</v>
      </c>
    </row>
    <row r="63" spans="1:8" x14ac:dyDescent="0.2">
      <c r="A63" s="43" t="s">
        <v>537</v>
      </c>
      <c r="B63" s="19" t="str">
        <f>INDEX(A56:A60,MATCH(MIN(C56:C60),C56:C60,0))</f>
        <v>South</v>
      </c>
    </row>
    <row r="65" spans="1:8" x14ac:dyDescent="0.2">
      <c r="A65" s="46" t="s">
        <v>538</v>
      </c>
      <c r="B65" s="47"/>
      <c r="C65" s="47"/>
      <c r="D65" s="47"/>
      <c r="E65" s="47"/>
      <c r="F65" s="47"/>
      <c r="G65" s="47"/>
      <c r="H65" s="47"/>
    </row>
    <row r="66" spans="1:8" x14ac:dyDescent="0.2">
      <c r="A66" s="17" t="s">
        <v>53</v>
      </c>
      <c r="B66" s="17" t="s">
        <v>39</v>
      </c>
      <c r="C66" s="17" t="s">
        <v>525</v>
      </c>
      <c r="D66" s="17" t="s">
        <v>526</v>
      </c>
      <c r="E66" s="17" t="s">
        <v>535</v>
      </c>
      <c r="F66" s="17" t="s">
        <v>527</v>
      </c>
    </row>
    <row r="67" spans="1:8" x14ac:dyDescent="0.2">
      <c r="A67" s="58" t="s">
        <v>62</v>
      </c>
      <c r="B67" s="58">
        <f>COUNTIF('Raw Data'!$G$2:$G$251,A67)</f>
        <v>43</v>
      </c>
      <c r="C67" s="59">
        <f>SUMIFS('Raw Data'!$N$2:$N$251,'Raw Data'!$G$2:$G$251,A67)</f>
        <v>8338.7399999999961</v>
      </c>
      <c r="D67" s="60">
        <f>C67/$B$24</f>
        <v>3.6383132482493794E-2</v>
      </c>
      <c r="E67" s="59">
        <f>IF(B67=0,0,C67/B67)</f>
        <v>193.92418604651155</v>
      </c>
      <c r="F67" s="58">
        <f>RANK(C67,$C$67:$C$69,0)</f>
        <v>3</v>
      </c>
    </row>
    <row r="68" spans="1:8" x14ac:dyDescent="0.2">
      <c r="A68" s="58" t="s">
        <v>67</v>
      </c>
      <c r="B68" s="58">
        <f>COUNTIF('Raw Data'!$G$2:$G$251,A68)</f>
        <v>131</v>
      </c>
      <c r="C68" s="59">
        <f>SUMIFS('Raw Data'!$N$2:$N$251,'Raw Data'!$G$2:$G$251,A68)</f>
        <v>171756.05000000013</v>
      </c>
      <c r="D68" s="60">
        <f>C68/$B$24</f>
        <v>0.74939656612627759</v>
      </c>
      <c r="E68" s="59">
        <f>IF(B68=0,0,C68/B68)</f>
        <v>1311.1148854961841</v>
      </c>
      <c r="F68" s="58">
        <f>RANK(C68,$C$67:$C$69,0)</f>
        <v>1</v>
      </c>
    </row>
    <row r="69" spans="1:8" x14ac:dyDescent="0.2">
      <c r="A69" s="58" t="s">
        <v>72</v>
      </c>
      <c r="B69" s="58">
        <f>COUNTIF('Raw Data'!$G$2:$G$251,A69)</f>
        <v>76</v>
      </c>
      <c r="C69" s="59">
        <f>SUMIFS('Raw Data'!$N$2:$N$251,'Raw Data'!$G$2:$G$251,A69)</f>
        <v>49097.680000000015</v>
      </c>
      <c r="D69" s="60">
        <f>C69/$B$24</f>
        <v>0.21422030139122786</v>
      </c>
      <c r="E69" s="59">
        <f>IF(B69=0,0,C69/B69)</f>
        <v>646.0221052631581</v>
      </c>
      <c r="F69" s="58">
        <f>RANK(C69,$C$67:$C$69,0)</f>
        <v>2</v>
      </c>
    </row>
    <row r="70" spans="1:8" x14ac:dyDescent="0.2">
      <c r="A70" s="61" t="s">
        <v>528</v>
      </c>
      <c r="B70" s="61">
        <f>SUM(B67:B69)</f>
        <v>250</v>
      </c>
      <c r="C70" s="62">
        <f>SUM(C67:C69)</f>
        <v>229192.47000000015</v>
      </c>
      <c r="D70" s="63">
        <f>SUM(D67:D69)</f>
        <v>0.99999999999999922</v>
      </c>
      <c r="E70" s="62"/>
      <c r="F70" s="61"/>
    </row>
    <row r="72" spans="1:8" x14ac:dyDescent="0.2">
      <c r="A72" s="46" t="s">
        <v>539</v>
      </c>
      <c r="B72" s="47"/>
      <c r="C72" s="47"/>
      <c r="D72" s="47"/>
      <c r="E72" s="47"/>
      <c r="F72" s="47"/>
      <c r="G72" s="47"/>
      <c r="H72" s="47"/>
    </row>
    <row r="73" spans="1:8" x14ac:dyDescent="0.2">
      <c r="A73" s="17" t="s">
        <v>56</v>
      </c>
      <c r="B73" s="17" t="s">
        <v>39</v>
      </c>
      <c r="C73" s="17" t="s">
        <v>525</v>
      </c>
      <c r="D73" s="17" t="s">
        <v>526</v>
      </c>
      <c r="E73" s="17" t="s">
        <v>535</v>
      </c>
      <c r="F73" s="17" t="s">
        <v>527</v>
      </c>
    </row>
    <row r="74" spans="1:8" x14ac:dyDescent="0.2">
      <c r="A74" s="58" t="s">
        <v>63</v>
      </c>
      <c r="B74" s="58">
        <f>COUNTIF('Raw Data'!$J$2:$J$251,A74)</f>
        <v>76</v>
      </c>
      <c r="C74" s="59">
        <f>SUMIFS('Raw Data'!$N$2:$N$251,'Raw Data'!$J$2:$J$251,A74)</f>
        <v>57427.790000000023</v>
      </c>
      <c r="D74" s="60">
        <f>C74/$B$24</f>
        <v>0.25056577993160045</v>
      </c>
      <c r="E74" s="59">
        <f>IF(B74=0,0,C74/B74)</f>
        <v>755.62881578947395</v>
      </c>
      <c r="F74" s="58">
        <f>RANK(C74,$C$74:$C$77,0)</f>
        <v>3</v>
      </c>
    </row>
    <row r="75" spans="1:8" x14ac:dyDescent="0.2">
      <c r="A75" s="58" t="s">
        <v>68</v>
      </c>
      <c r="B75" s="58">
        <f>COUNTIF('Raw Data'!$J$2:$J$251,A75)</f>
        <v>68</v>
      </c>
      <c r="C75" s="59">
        <f>SUMIFS('Raw Data'!$N$2:$N$251,'Raw Data'!$J$2:$J$251,A75)</f>
        <v>61447.960000000014</v>
      </c>
      <c r="D75" s="60">
        <f>C75/$B$24</f>
        <v>0.26810636492551404</v>
      </c>
      <c r="E75" s="59">
        <f>IF(B75=0,0,C75/B75)</f>
        <v>903.6464705882355</v>
      </c>
      <c r="F75" s="58">
        <f>RANK(C75,$C$74:$C$77,0)</f>
        <v>1</v>
      </c>
    </row>
    <row r="76" spans="1:8" x14ac:dyDescent="0.2">
      <c r="A76" s="58" t="s">
        <v>73</v>
      </c>
      <c r="B76" s="58">
        <f>COUNTIF('Raw Data'!$J$2:$J$251,A76)</f>
        <v>54</v>
      </c>
      <c r="C76" s="59">
        <f>SUMIFS('Raw Data'!$N$2:$N$251,'Raw Data'!$J$2:$J$251,A76)</f>
        <v>52118.310000000005</v>
      </c>
      <c r="D76" s="60">
        <f>C76/$B$24</f>
        <v>0.22739974834251725</v>
      </c>
      <c r="E76" s="59">
        <f>IF(B76=0,0,C76/B76)</f>
        <v>965.15388888888901</v>
      </c>
      <c r="F76" s="58">
        <f>RANK(C76,$C$74:$C$77,0)</f>
        <v>4</v>
      </c>
    </row>
    <row r="77" spans="1:8" x14ac:dyDescent="0.2">
      <c r="A77" s="58" t="s">
        <v>78</v>
      </c>
      <c r="B77" s="58">
        <f>COUNTIF('Raw Data'!$J$2:$J$251,A77)</f>
        <v>52</v>
      </c>
      <c r="C77" s="59">
        <f>SUMIFS('Raw Data'!$N$2:$N$251,'Raw Data'!$J$2:$J$251,A77)</f>
        <v>58198.409999999996</v>
      </c>
      <c r="D77" s="60">
        <f>C77/$B$24</f>
        <v>0.25392810680036704</v>
      </c>
      <c r="E77" s="59">
        <f>IF(B77=0,0,C77/B77)</f>
        <v>1119.2001923076923</v>
      </c>
      <c r="F77" s="58">
        <f>RANK(C77,$C$74:$C$77,0)</f>
        <v>2</v>
      </c>
    </row>
    <row r="78" spans="1:8" x14ac:dyDescent="0.2">
      <c r="A78" s="61" t="s">
        <v>528</v>
      </c>
      <c r="B78" s="61">
        <f>SUM(B74:B77)</f>
        <v>250</v>
      </c>
      <c r="C78" s="62">
        <f>SUM(C74:C77)</f>
        <v>229192.47000000003</v>
      </c>
      <c r="D78" s="63">
        <f>SUM(D74:D77)</f>
        <v>0.99999999999999878</v>
      </c>
      <c r="E78" s="62"/>
      <c r="F78" s="61"/>
    </row>
    <row r="79" spans="1:8" x14ac:dyDescent="0.2">
      <c r="A79" s="43" t="s">
        <v>540</v>
      </c>
      <c r="B79" s="19" t="str">
        <f>INDEX(A74:A77,MATCH(MAX(B74:B77),B74:B77,0))</f>
        <v>Cash</v>
      </c>
    </row>
    <row r="81" spans="1:8" x14ac:dyDescent="0.2">
      <c r="A81" s="46" t="s">
        <v>541</v>
      </c>
      <c r="B81" s="47"/>
      <c r="C81" s="47"/>
      <c r="D81" s="47"/>
      <c r="E81" s="47"/>
      <c r="F81" s="47"/>
      <c r="G81" s="47"/>
      <c r="H81" s="47"/>
    </row>
    <row r="82" spans="1:8" x14ac:dyDescent="0.2">
      <c r="A82" s="17" t="s">
        <v>542</v>
      </c>
      <c r="B82" s="17" t="s">
        <v>39</v>
      </c>
      <c r="C82" s="17" t="s">
        <v>525</v>
      </c>
      <c r="D82" s="17" t="s">
        <v>526</v>
      </c>
      <c r="E82" s="17" t="s">
        <v>535</v>
      </c>
      <c r="F82" s="17" t="s">
        <v>527</v>
      </c>
    </row>
    <row r="83" spans="1:8" x14ac:dyDescent="0.2">
      <c r="A83" s="58" t="s">
        <v>140</v>
      </c>
      <c r="B83" s="58">
        <f>COUNTIF('Raw Data'!$L$2:$L$251,A83)</f>
        <v>74</v>
      </c>
      <c r="C83" s="59">
        <f>SUMIFS('Raw Data'!$N$2:$N$251,'Raw Data'!$L$2:$L$251,A83)</f>
        <v>62177.810000000019</v>
      </c>
      <c r="D83" s="60">
        <f>C83/$B$24</f>
        <v>0.27129080636898728</v>
      </c>
      <c r="E83" s="59">
        <f>IF(B83=0,0,C83/B83)</f>
        <v>840.2406756756759</v>
      </c>
      <c r="F83" s="58">
        <f>RANK(C83,$C$83:$C$85,0)</f>
        <v>3</v>
      </c>
    </row>
    <row r="84" spans="1:8" x14ac:dyDescent="0.2">
      <c r="A84" s="58" t="s">
        <v>144</v>
      </c>
      <c r="B84" s="58">
        <f>COUNTIF('Raw Data'!$L$2:$L$251,A84)</f>
        <v>95</v>
      </c>
      <c r="C84" s="59">
        <f>SUMIFS('Raw Data'!$N$2:$N$251,'Raw Data'!$L$2:$L$251,A84)</f>
        <v>84657.12000000001</v>
      </c>
      <c r="D84" s="60">
        <f>C84/$B$24</f>
        <v>0.36937129740780705</v>
      </c>
      <c r="E84" s="59">
        <f>IF(B84=0,0,C84/B84)</f>
        <v>891.12757894736853</v>
      </c>
      <c r="F84" s="58">
        <f>RANK(C84,$C$83:$C$85,0)</f>
        <v>1</v>
      </c>
    </row>
    <row r="85" spans="1:8" x14ac:dyDescent="0.2">
      <c r="A85" s="58" t="s">
        <v>149</v>
      </c>
      <c r="B85" s="58">
        <f>COUNTIF('Raw Data'!$L$2:$L$251,A85)</f>
        <v>81</v>
      </c>
      <c r="C85" s="59">
        <f>SUMIFS('Raw Data'!$N$2:$N$251,'Raw Data'!$L$2:$L$251,A85)</f>
        <v>82357.540000000037</v>
      </c>
      <c r="D85" s="60">
        <f>C85/$B$24</f>
        <v>0.35933789622320456</v>
      </c>
      <c r="E85" s="59">
        <f>IF(B85=0,0,C85/B85)</f>
        <v>1016.7597530864202</v>
      </c>
      <c r="F85" s="58">
        <f>RANK(C85,$C$83:$C$85,0)</f>
        <v>2</v>
      </c>
    </row>
    <row r="86" spans="1:8" x14ac:dyDescent="0.2">
      <c r="A86" s="61" t="s">
        <v>528</v>
      </c>
      <c r="B86" s="61">
        <f>SUM(B83:B85)</f>
        <v>250</v>
      </c>
      <c r="C86" s="62">
        <f>SUM(C83:C85)</f>
        <v>229192.47000000006</v>
      </c>
      <c r="D86" s="63">
        <f>SUM(D83:D85)</f>
        <v>0.99999999999999889</v>
      </c>
      <c r="E86" s="62"/>
      <c r="F86" s="61"/>
    </row>
    <row r="88" spans="1:8" x14ac:dyDescent="0.2">
      <c r="A88" s="46" t="s">
        <v>543</v>
      </c>
      <c r="B88" s="47"/>
      <c r="C88" s="47"/>
      <c r="D88" s="47"/>
      <c r="E88" s="47"/>
      <c r="F88" s="47"/>
      <c r="G88" s="47"/>
      <c r="H88" s="47"/>
    </row>
    <row r="89" spans="1:8" x14ac:dyDescent="0.2">
      <c r="A89" s="17" t="s">
        <v>126</v>
      </c>
      <c r="B89" s="17" t="s">
        <v>544</v>
      </c>
      <c r="C89" s="17" t="s">
        <v>545</v>
      </c>
      <c r="D89" s="17" t="s">
        <v>39</v>
      </c>
      <c r="E89" s="17" t="s">
        <v>525</v>
      </c>
      <c r="F89" s="17" t="s">
        <v>546</v>
      </c>
    </row>
    <row r="90" spans="1:8" x14ac:dyDescent="0.2">
      <c r="A90" s="64">
        <f>EOMONTH(MIN('Raw Data'!$B$2:$B$251),0)</f>
        <v>45412</v>
      </c>
      <c r="B90" s="58" t="str">
        <f t="shared" ref="B90:B102" si="2">TEXT(A90,"mmm-yy")</f>
        <v>Apr-24</v>
      </c>
      <c r="C90" s="58">
        <v>1</v>
      </c>
      <c r="D90" s="58">
        <f>COUNTIFS('Raw Data'!$P$2:$P$251,A90)</f>
        <v>21</v>
      </c>
      <c r="E90" s="59">
        <f>SUMIFS('Raw Data'!$N$2:$N$251,'Raw Data'!$P$2:$P$251,A90)</f>
        <v>20919.330000000002</v>
      </c>
      <c r="F90" s="60"/>
    </row>
    <row r="91" spans="1:8" x14ac:dyDescent="0.2">
      <c r="A91" s="64">
        <f t="shared" ref="A91:A102" si="3">EOMONTH(A90,1)</f>
        <v>45443</v>
      </c>
      <c r="B91" s="58" t="str">
        <f t="shared" si="2"/>
        <v>May-24</v>
      </c>
      <c r="C91" s="58">
        <f t="shared" ref="C91:C102" si="4">C90+1</f>
        <v>2</v>
      </c>
      <c r="D91" s="58">
        <f>COUNTIFS('Raw Data'!$P$2:$P$251,A91)</f>
        <v>19</v>
      </c>
      <c r="E91" s="59">
        <f>SUMIFS('Raw Data'!$N$2:$N$251,'Raw Data'!$P$2:$P$251,A91)</f>
        <v>17039.349999999999</v>
      </c>
      <c r="F91" s="60">
        <f t="shared" ref="F91:F102" si="5">IF(E90=0,"",E91/E90-1)</f>
        <v>-0.18547343533468819</v>
      </c>
    </row>
    <row r="92" spans="1:8" x14ac:dyDescent="0.2">
      <c r="A92" s="64">
        <f t="shared" si="3"/>
        <v>45473</v>
      </c>
      <c r="B92" s="58" t="str">
        <f t="shared" si="2"/>
        <v>Jun-24</v>
      </c>
      <c r="C92" s="58">
        <f t="shared" si="4"/>
        <v>3</v>
      </c>
      <c r="D92" s="58">
        <f>COUNTIFS('Raw Data'!$P$2:$P$251,A92)</f>
        <v>19</v>
      </c>
      <c r="E92" s="59">
        <f>SUMIFS('Raw Data'!$N$2:$N$251,'Raw Data'!$P$2:$P$251,A92)</f>
        <v>19299.45</v>
      </c>
      <c r="F92" s="60">
        <f t="shared" si="5"/>
        <v>0.13264003615161379</v>
      </c>
    </row>
    <row r="93" spans="1:8" x14ac:dyDescent="0.2">
      <c r="A93" s="64">
        <f t="shared" si="3"/>
        <v>45504</v>
      </c>
      <c r="B93" s="58" t="str">
        <f t="shared" si="2"/>
        <v>Jul-24</v>
      </c>
      <c r="C93" s="58">
        <f t="shared" si="4"/>
        <v>4</v>
      </c>
      <c r="D93" s="58">
        <f>COUNTIFS('Raw Data'!$P$2:$P$251,A93)</f>
        <v>24</v>
      </c>
      <c r="E93" s="59">
        <f>SUMIFS('Raw Data'!$N$2:$N$251,'Raw Data'!$P$2:$P$251,A93)</f>
        <v>18479.399999999994</v>
      </c>
      <c r="F93" s="60">
        <f t="shared" si="5"/>
        <v>-4.2490848184793206E-2</v>
      </c>
    </row>
    <row r="94" spans="1:8" x14ac:dyDescent="0.2">
      <c r="A94" s="64">
        <f t="shared" si="3"/>
        <v>45535</v>
      </c>
      <c r="B94" s="58" t="str">
        <f t="shared" si="2"/>
        <v>Aug-24</v>
      </c>
      <c r="C94" s="58">
        <f t="shared" si="4"/>
        <v>5</v>
      </c>
      <c r="D94" s="58">
        <f>COUNTIFS('Raw Data'!$P$2:$P$251,A94)</f>
        <v>18</v>
      </c>
      <c r="E94" s="59">
        <f>SUMIFS('Raw Data'!$N$2:$N$251,'Raw Data'!$P$2:$P$251,A94)</f>
        <v>15759.429999999997</v>
      </c>
      <c r="F94" s="60">
        <f t="shared" si="5"/>
        <v>-0.14718930268298747</v>
      </c>
    </row>
    <row r="95" spans="1:8" x14ac:dyDescent="0.2">
      <c r="A95" s="64">
        <f t="shared" si="3"/>
        <v>45565</v>
      </c>
      <c r="B95" s="58" t="str">
        <f t="shared" si="2"/>
        <v>Sep-24</v>
      </c>
      <c r="C95" s="58">
        <f t="shared" si="4"/>
        <v>6</v>
      </c>
      <c r="D95" s="58">
        <f>COUNTIFS('Raw Data'!$P$2:$P$251,A95)</f>
        <v>19</v>
      </c>
      <c r="E95" s="59">
        <f>SUMIFS('Raw Data'!$N$2:$N$251,'Raw Data'!$P$2:$P$251,A95)</f>
        <v>12989.509999999997</v>
      </c>
      <c r="F95" s="60">
        <f t="shared" si="5"/>
        <v>-0.17576270207742284</v>
      </c>
    </row>
    <row r="96" spans="1:8" x14ac:dyDescent="0.2">
      <c r="A96" s="64">
        <f t="shared" si="3"/>
        <v>45596</v>
      </c>
      <c r="B96" s="58" t="str">
        <f t="shared" si="2"/>
        <v>Oct-24</v>
      </c>
      <c r="C96" s="58">
        <f t="shared" si="4"/>
        <v>7</v>
      </c>
      <c r="D96" s="58">
        <f>COUNTIFS('Raw Data'!$P$2:$P$251,A96)</f>
        <v>16</v>
      </c>
      <c r="E96" s="59">
        <f>SUMIFS('Raw Data'!$N$2:$N$251,'Raw Data'!$P$2:$P$251,A96)</f>
        <v>20609.52</v>
      </c>
      <c r="F96" s="60">
        <f t="shared" si="5"/>
        <v>0.58662797903847075</v>
      </c>
    </row>
    <row r="97" spans="1:8" x14ac:dyDescent="0.2">
      <c r="A97" s="64">
        <f t="shared" si="3"/>
        <v>45626</v>
      </c>
      <c r="B97" s="58" t="str">
        <f t="shared" si="2"/>
        <v>Nov-24</v>
      </c>
      <c r="C97" s="58">
        <f t="shared" si="4"/>
        <v>8</v>
      </c>
      <c r="D97" s="58">
        <f>COUNTIFS('Raw Data'!$P$2:$P$251,A97)</f>
        <v>17</v>
      </c>
      <c r="E97" s="59">
        <f>SUMIFS('Raw Data'!$N$2:$N$251,'Raw Data'!$P$2:$P$251,A97)</f>
        <v>12309.439999999999</v>
      </c>
      <c r="F97" s="60">
        <f t="shared" si="5"/>
        <v>-0.40273038867474842</v>
      </c>
    </row>
    <row r="98" spans="1:8" x14ac:dyDescent="0.2">
      <c r="A98" s="64">
        <f t="shared" si="3"/>
        <v>45657</v>
      </c>
      <c r="B98" s="58" t="str">
        <f t="shared" si="2"/>
        <v>Dec-24</v>
      </c>
      <c r="C98" s="58">
        <f t="shared" si="4"/>
        <v>9</v>
      </c>
      <c r="D98" s="58">
        <f>COUNTIFS('Raw Data'!$P$2:$P$251,A98)</f>
        <v>25</v>
      </c>
      <c r="E98" s="59">
        <f>SUMIFS('Raw Data'!$N$2:$N$251,'Raw Data'!$P$2:$P$251,A98)</f>
        <v>23039.3</v>
      </c>
      <c r="F98" s="60">
        <f t="shared" si="5"/>
        <v>0.87167734681675224</v>
      </c>
    </row>
    <row r="99" spans="1:8" x14ac:dyDescent="0.2">
      <c r="A99" s="64">
        <f t="shared" si="3"/>
        <v>45688</v>
      </c>
      <c r="B99" s="58" t="str">
        <f t="shared" si="2"/>
        <v>Jan-25</v>
      </c>
      <c r="C99" s="58">
        <f t="shared" si="4"/>
        <v>10</v>
      </c>
      <c r="D99" s="58">
        <f>COUNTIFS('Raw Data'!$P$2:$P$251,A99)</f>
        <v>26</v>
      </c>
      <c r="E99" s="59">
        <f>SUMIFS('Raw Data'!$N$2:$N$251,'Raw Data'!$P$2:$P$251,A99)</f>
        <v>25799.15</v>
      </c>
      <c r="F99" s="60">
        <f t="shared" si="5"/>
        <v>0.11978879566653511</v>
      </c>
    </row>
    <row r="100" spans="1:8" x14ac:dyDescent="0.2">
      <c r="A100" s="64">
        <f t="shared" si="3"/>
        <v>45716</v>
      </c>
      <c r="B100" s="58" t="str">
        <f t="shared" si="2"/>
        <v>Feb-25</v>
      </c>
      <c r="C100" s="58">
        <f t="shared" si="4"/>
        <v>11</v>
      </c>
      <c r="D100" s="58">
        <f>COUNTIFS('Raw Data'!$P$2:$P$251,A100)</f>
        <v>20</v>
      </c>
      <c r="E100" s="59">
        <f>SUMIFS('Raw Data'!$N$2:$N$251,'Raw Data'!$P$2:$P$251,A100)</f>
        <v>16069.379999999997</v>
      </c>
      <c r="F100" s="60">
        <f t="shared" si="5"/>
        <v>-0.37713529321702477</v>
      </c>
    </row>
    <row r="101" spans="1:8" x14ac:dyDescent="0.2">
      <c r="A101" s="64">
        <f t="shared" si="3"/>
        <v>45747</v>
      </c>
      <c r="B101" s="58" t="str">
        <f t="shared" si="2"/>
        <v>Mar-25</v>
      </c>
      <c r="C101" s="58">
        <f t="shared" si="4"/>
        <v>12</v>
      </c>
      <c r="D101" s="58">
        <f>COUNTIFS('Raw Data'!$P$2:$P$251,A101)</f>
        <v>19</v>
      </c>
      <c r="E101" s="59">
        <f>SUMIFS('Raw Data'!$N$2:$N$251,'Raw Data'!$P$2:$P$251,A101)</f>
        <v>19899.379999999997</v>
      </c>
      <c r="F101" s="60">
        <f t="shared" si="5"/>
        <v>0.23834149170658736</v>
      </c>
    </row>
    <row r="102" spans="1:8" x14ac:dyDescent="0.2">
      <c r="A102" s="64">
        <f t="shared" si="3"/>
        <v>45777</v>
      </c>
      <c r="B102" s="58" t="str">
        <f t="shared" si="2"/>
        <v>Apr-25</v>
      </c>
      <c r="C102" s="58">
        <f t="shared" si="4"/>
        <v>13</v>
      </c>
      <c r="D102" s="58">
        <f>COUNTIFS('Raw Data'!$P$2:$P$251,A102)</f>
        <v>7</v>
      </c>
      <c r="E102" s="59">
        <f>SUMIFS('Raw Data'!$N$2:$N$251,'Raw Data'!$P$2:$P$251,A102)</f>
        <v>6979.829999999999</v>
      </c>
      <c r="F102" s="60">
        <f t="shared" si="5"/>
        <v>-0.64924384578816019</v>
      </c>
    </row>
    <row r="103" spans="1:8" x14ac:dyDescent="0.2">
      <c r="A103" s="16" t="s">
        <v>547</v>
      </c>
    </row>
    <row r="104" spans="1:8" x14ac:dyDescent="0.2">
      <c r="A104" s="46" t="s">
        <v>548</v>
      </c>
      <c r="B104" s="47"/>
      <c r="C104" s="47"/>
      <c r="D104" s="47"/>
      <c r="E104" s="47"/>
      <c r="F104" s="47"/>
      <c r="G104" s="47"/>
      <c r="H104" s="47"/>
    </row>
    <row r="106" spans="1:8" x14ac:dyDescent="0.2">
      <c r="A106" s="43" t="s">
        <v>549</v>
      </c>
      <c r="B106" s="56">
        <f>COUNT($E$90:$E$101)</f>
        <v>12</v>
      </c>
    </row>
    <row r="107" spans="1:8" x14ac:dyDescent="0.2">
      <c r="A107" s="43" t="s">
        <v>550</v>
      </c>
      <c r="B107" s="55">
        <f>SLOPE($E$90:$E$101,$C$90:$C$101)</f>
        <v>159.50440559440551</v>
      </c>
    </row>
    <row r="108" spans="1:8" x14ac:dyDescent="0.2">
      <c r="A108" s="43" t="s">
        <v>551</v>
      </c>
      <c r="B108" s="55">
        <f>INTERCEPT($E$90:$E$101,$C$90:$C$101)</f>
        <v>17480.941363636361</v>
      </c>
    </row>
    <row r="109" spans="1:8" x14ac:dyDescent="0.2">
      <c r="A109" s="43" t="s">
        <v>552</v>
      </c>
      <c r="B109" s="65">
        <f>RSQ($E$90:$E$101,$C$90:$C$101)</f>
        <v>2.1273185474349424E-2</v>
      </c>
    </row>
    <row r="110" spans="1:8" x14ac:dyDescent="0.2">
      <c r="A110" s="43" t="s">
        <v>553</v>
      </c>
      <c r="B110" s="53">
        <f>STEYX($E$90:$E$101,$C$90:$C$101)</f>
        <v>4091.2421209288577</v>
      </c>
    </row>
    <row r="111" spans="1:8" x14ac:dyDescent="0.2">
      <c r="A111" s="43" t="s">
        <v>554</v>
      </c>
      <c r="B111" s="55">
        <f>INDEX(LINEST($E$90:$E$101,$C$90:$C$101,TRUE(),TRUE()),2,1)</f>
        <v>342.12685346312213</v>
      </c>
    </row>
    <row r="112" spans="1:8" x14ac:dyDescent="0.2">
      <c r="A112" s="43" t="s">
        <v>555</v>
      </c>
      <c r="B112" s="65">
        <f>B107/B111</f>
        <v>0.4662142242850823</v>
      </c>
    </row>
    <row r="113" spans="1:8" x14ac:dyDescent="0.2">
      <c r="A113" s="43" t="s">
        <v>556</v>
      </c>
      <c r="B113" s="65">
        <f>TDIST(ABS(B112),B106-2,2)</f>
        <v>0.65105213039581011</v>
      </c>
    </row>
    <row r="114" spans="1:8" x14ac:dyDescent="0.2">
      <c r="A114" s="43" t="s">
        <v>557</v>
      </c>
      <c r="B114" s="53">
        <f>FORECAST(13,$E$90:$E$101,$C$90:$C$101)</f>
        <v>19554.498636363631</v>
      </c>
    </row>
    <row r="115" spans="1:8" x14ac:dyDescent="0.2">
      <c r="A115" s="43" t="s">
        <v>558</v>
      </c>
      <c r="B115" s="66" t="str">
        <f>IF(B113&lt;0.05,"Trend is statistically significant","Trend is NOT statistically significant (p &gt;= 0.05)")</f>
        <v>Trend is NOT statistically significant (p &gt;= 0.05)</v>
      </c>
    </row>
    <row r="116" spans="1:8" x14ac:dyDescent="0.2">
      <c r="A116" s="16" t="s">
        <v>559</v>
      </c>
    </row>
    <row r="118" spans="1:8" x14ac:dyDescent="0.2">
      <c r="A118" s="46" t="s">
        <v>560</v>
      </c>
      <c r="B118" s="47"/>
      <c r="C118" s="47"/>
      <c r="D118" s="47"/>
      <c r="E118" s="47"/>
      <c r="F118" s="47"/>
      <c r="G118" s="47"/>
      <c r="H118" s="47"/>
    </row>
    <row r="119" spans="1:8" ht="39.75" customHeight="1" x14ac:dyDescent="0.2">
      <c r="A119" s="17" t="s">
        <v>561</v>
      </c>
      <c r="B119" s="17" t="s">
        <v>562</v>
      </c>
      <c r="C119" s="17" t="s">
        <v>563</v>
      </c>
      <c r="D119" s="17" t="s">
        <v>564</v>
      </c>
      <c r="E119" s="17" t="s">
        <v>565</v>
      </c>
    </row>
    <row r="120" spans="1:8" x14ac:dyDescent="0.2">
      <c r="A120" s="43" t="s">
        <v>566</v>
      </c>
      <c r="B120" s="67">
        <v>0</v>
      </c>
      <c r="C120" s="67">
        <v>0</v>
      </c>
      <c r="D120" s="67">
        <v>0.05</v>
      </c>
      <c r="E120" s="67">
        <v>-0.03</v>
      </c>
    </row>
    <row r="121" spans="1:8" x14ac:dyDescent="0.2">
      <c r="A121" s="43" t="s">
        <v>567</v>
      </c>
      <c r="B121" s="67">
        <v>0</v>
      </c>
      <c r="C121" s="67">
        <v>0</v>
      </c>
      <c r="D121" s="67">
        <v>0.1</v>
      </c>
      <c r="E121" s="67">
        <v>-0.08</v>
      </c>
    </row>
    <row r="122" spans="1:8" x14ac:dyDescent="0.2">
      <c r="A122" s="43" t="s">
        <v>568</v>
      </c>
      <c r="B122" s="67">
        <v>0</v>
      </c>
      <c r="C122" s="67">
        <v>0</v>
      </c>
      <c r="D122" s="67">
        <v>0</v>
      </c>
      <c r="E122" s="67">
        <v>0.05</v>
      </c>
    </row>
    <row r="123" spans="1:8" x14ac:dyDescent="0.2">
      <c r="A123" s="43" t="s">
        <v>569</v>
      </c>
      <c r="B123" s="68">
        <f>$B$24</f>
        <v>229192.47000000032</v>
      </c>
      <c r="C123" s="68">
        <f>$B$24</f>
        <v>229192.47000000032</v>
      </c>
      <c r="D123" s="68">
        <f>$B$24</f>
        <v>229192.47000000032</v>
      </c>
      <c r="E123" s="68">
        <f>$B$24</f>
        <v>229192.47000000032</v>
      </c>
    </row>
    <row r="124" spans="1:8" x14ac:dyDescent="0.2">
      <c r="A124" s="19" t="s">
        <v>570</v>
      </c>
      <c r="B124" s="53">
        <f>B123*(1+B120)*(1+B121)*(1-B122)</f>
        <v>229192.47000000032</v>
      </c>
      <c r="C124" s="53">
        <f>C123*(1+C120)*(1+C121)*(1-C122)</f>
        <v>229192.47000000032</v>
      </c>
      <c r="D124" s="53">
        <f>D123*(1+D120)*(1+D121)*(1-D122)</f>
        <v>264717.30285000039</v>
      </c>
      <c r="E124" s="53">
        <f>E123*(1+E120)*(1+E121)*(1-E122)</f>
        <v>194304.79221660027</v>
      </c>
    </row>
    <row r="125" spans="1:8" x14ac:dyDescent="0.2">
      <c r="A125" s="43" t="s">
        <v>571</v>
      </c>
      <c r="B125" s="69">
        <f>B124/B123-1</f>
        <v>0</v>
      </c>
      <c r="C125" s="69">
        <f>C124/C123-1</f>
        <v>0</v>
      </c>
      <c r="D125" s="69">
        <f>D124/D123-1</f>
        <v>0.15500000000000003</v>
      </c>
      <c r="E125" s="69">
        <f>E124/E123-1</f>
        <v>-0.15222000000000002</v>
      </c>
    </row>
    <row r="127" spans="1:8" x14ac:dyDescent="0.2">
      <c r="A127" s="43" t="s">
        <v>572</v>
      </c>
      <c r="B127" s="67">
        <v>0.2</v>
      </c>
    </row>
    <row r="128" spans="1:8" x14ac:dyDescent="0.2">
      <c r="A128" s="43" t="s">
        <v>573</v>
      </c>
      <c r="B128" s="70">
        <f>B123*(1+B127)</f>
        <v>275030.96400000039</v>
      </c>
    </row>
    <row r="129" spans="1:2" x14ac:dyDescent="0.2">
      <c r="A129" s="43" t="s">
        <v>574</v>
      </c>
      <c r="B129" s="71">
        <f>B128/(B123*(1+B121)*(1-B122))-1</f>
        <v>0.19999999999999996</v>
      </c>
    </row>
    <row r="130" spans="1:2" x14ac:dyDescent="0.2">
      <c r="A130" s="16" t="s">
        <v>575</v>
      </c>
    </row>
    <row r="131" spans="1:2" x14ac:dyDescent="0.2">
      <c r="A131" s="16" t="s">
        <v>576</v>
      </c>
    </row>
  </sheetData>
  <scenarios current="0" show="0" sqref="B124">
    <scenario name="Base case" count="3" user="Analyst" comment="No change to price, volume or discount">
      <inputCells r="B120" val="0"/>
      <inputCells r="B121" val="0"/>
      <inputCells r="B122" val="0"/>
    </scenario>
    <scenario name="Optimistic" count="3" user="Analyst" comment="Price +5%, volume +10%, no discount">
      <inputCells r="B120" val="0.05"/>
      <inputCells r="B121" val="0.1"/>
      <inputCells r="B122" val="0"/>
    </scenario>
    <scenario name="Pessimistic" count="3" user="Analyst" comment="Price -3%, volume -8%, 5% discount">
      <inputCells r="B120" val="-0.03"/>
      <inputCells r="B121" val="-0.08"/>
      <inputCells r="B122" val="0.05"/>
    </scenario>
  </scenarios>
  <conditionalFormatting sqref="C56:C6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:E44">
    <cfRule type="dataBar" priority="2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{E3E72F19-E4A6-4829-B817-B5CDF52DF53B}</x14:id>
        </ext>
      </extLst>
    </cfRule>
  </conditionalFormatting>
  <conditionalFormatting sqref="F90:F102">
    <cfRule type="iconSet" priority="4">
      <iconSet iconSet="3Arrows">
        <cfvo type="num" val="-100"/>
        <cfvo type="num" val="-0.1"/>
        <cfvo type="num" val="0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E72F19-E4A6-4829-B817-B5CDF52DF53B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E35:E44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BFBF"/>
  </sheetPr>
  <dimension ref="A1:T5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8" customWidth="1"/>
    <col min="3" max="3" width="13" customWidth="1"/>
    <col min="4" max="4" width="8" customWidth="1"/>
    <col min="5" max="6" width="11" customWidth="1"/>
    <col min="7" max="8" width="12" customWidth="1"/>
    <col min="9" max="9" width="11" customWidth="1"/>
    <col min="10" max="10" width="13" customWidth="1"/>
    <col min="11" max="11" width="3" customWidth="1"/>
    <col min="12" max="12" width="7" customWidth="1"/>
    <col min="13" max="13" width="18" customWidth="1"/>
    <col min="14" max="14" width="13" customWidth="1"/>
    <col min="15" max="15" width="15" customWidth="1"/>
    <col min="16" max="16" width="3" customWidth="1"/>
    <col min="17" max="17" width="5" customWidth="1"/>
    <col min="18" max="18" width="24" customWidth="1"/>
    <col min="19" max="19" width="22" customWidth="1"/>
    <col min="20" max="20" width="24" customWidth="1"/>
  </cols>
  <sheetData>
    <row r="1" spans="1:20" ht="20" x14ac:dyDescent="0.2">
      <c r="A1" s="15" t="s">
        <v>577</v>
      </c>
    </row>
    <row r="2" spans="1:20" x14ac:dyDescent="0.2">
      <c r="A2" s="16" t="s">
        <v>578</v>
      </c>
      <c r="L2" s="19" t="s">
        <v>579</v>
      </c>
      <c r="Q2" s="19" t="s">
        <v>580</v>
      </c>
    </row>
    <row r="3" spans="1:20" ht="28" x14ac:dyDescent="0.2">
      <c r="A3" s="17" t="s">
        <v>117</v>
      </c>
      <c r="B3" s="17" t="s">
        <v>118</v>
      </c>
      <c r="C3" s="17" t="s">
        <v>581</v>
      </c>
      <c r="D3" s="17" t="s">
        <v>39</v>
      </c>
      <c r="E3" s="17" t="s">
        <v>535</v>
      </c>
      <c r="F3" s="17" t="s">
        <v>582</v>
      </c>
      <c r="G3" s="17" t="s">
        <v>583</v>
      </c>
      <c r="H3" s="17" t="s">
        <v>584</v>
      </c>
      <c r="I3" s="17" t="s">
        <v>585</v>
      </c>
      <c r="J3" s="17" t="s">
        <v>586</v>
      </c>
      <c r="L3" s="17" t="s">
        <v>34</v>
      </c>
      <c r="M3" s="17" t="s">
        <v>35</v>
      </c>
      <c r="N3" s="17" t="s">
        <v>581</v>
      </c>
      <c r="O3" s="17" t="s">
        <v>587</v>
      </c>
      <c r="Q3" s="17" t="s">
        <v>588</v>
      </c>
      <c r="R3" s="17" t="s">
        <v>589</v>
      </c>
      <c r="S3" s="17" t="s">
        <v>590</v>
      </c>
      <c r="T3" s="17" t="s">
        <v>591</v>
      </c>
    </row>
    <row r="4" spans="1:20" x14ac:dyDescent="0.2">
      <c r="A4" s="58" t="s">
        <v>486</v>
      </c>
      <c r="B4" s="58" t="str">
        <f>INDEX('Raw Data'!$D$2:$D$251,MATCH(A4,'Raw Data'!$C$2:$C$251,0))</f>
        <v>John Smith</v>
      </c>
      <c r="C4" s="59">
        <f>SUMIFS('Raw Data'!$N$2:$N$251,'Raw Data'!$C$2:$C$251,A4)</f>
        <v>599.96</v>
      </c>
      <c r="D4" s="58">
        <f>COUNTIFS('Raw Data'!$C$2:$C$251,A4)</f>
        <v>1</v>
      </c>
      <c r="E4" s="59">
        <f t="shared" ref="E4:E35" si="0">IF(D4=0,0,C4/D4)</f>
        <v>599.96</v>
      </c>
      <c r="F4" s="58">
        <f>RANK(C4,$C$4:$C$53,0)+COUNTIF($C$4:C4,C4)-1</f>
        <v>47</v>
      </c>
      <c r="G4" s="58" t="str">
        <f t="shared" ref="G4:G35" si="1">IF(C4&gt;=PERCENTILE($C$4:$C$53,0.8),"High-Value",IF(C4&gt;=PERCENTILE($C$4:$C$53,0.5),"Mid","Low"))</f>
        <v>Low</v>
      </c>
      <c r="H4" s="58">
        <f>COUNTIFS('Raw Data'!$C$2:$C$251,A4,'Raw Data'!$F$2:$F$251,"Laptop")</f>
        <v>0</v>
      </c>
      <c r="I4" s="58" t="str">
        <f>IF(H4&gt;0,MAX(I$3:I3)+1,"")</f>
        <v/>
      </c>
      <c r="J4" s="58" t="str">
        <f t="shared" ref="J4:J35" si="2">IF(D4&gt;1,"Repeat","One-time")</f>
        <v>One-time</v>
      </c>
      <c r="L4" s="58">
        <v>1</v>
      </c>
      <c r="M4" s="58" t="str">
        <f t="shared" ref="M4:M13" si="3">INDEX($B$4:$B$53,MATCH(L4,$F$4:$F$53,0))</f>
        <v>Mark Carter</v>
      </c>
      <c r="N4" s="59">
        <f t="shared" ref="N4:N13" si="4">INDEX($C$4:$C$53,MATCH(L4,$F$4:$F$53,0))</f>
        <v>15659.65</v>
      </c>
      <c r="O4" s="60">
        <f>N4/SUM('Raw Data'!$N$2:$N$251)</f>
        <v>6.8325324998678966E-2</v>
      </c>
      <c r="Q4" s="58">
        <v>1</v>
      </c>
      <c r="R4" s="58" t="str">
        <f t="shared" ref="R4:R18" si="5">INDEX($B$4:$B$53,MATCH(Q4,$F$4:$F$53,0))</f>
        <v>Mark Carter</v>
      </c>
      <c r="S4" s="58" t="str">
        <f t="shared" ref="S4:S35" si="6">IFERROR(INDEX($B$4:$B$53,MATCH(Q4,$I$4:$I$53,0)),"")</f>
        <v>Robert Thomas</v>
      </c>
      <c r="T4" s="58" t="str">
        <f t="shared" ref="T4:T18" si="7">IF(COUNTIF($S$4:$S$53,R4)&gt;0,R4,"")</f>
        <v>Mark Carter</v>
      </c>
    </row>
    <row r="5" spans="1:20" x14ac:dyDescent="0.2">
      <c r="A5" s="58" t="s">
        <v>232</v>
      </c>
      <c r="B5" s="58" t="str">
        <f>INDEX('Raw Data'!$D$2:$D$251,MATCH(A5,'Raw Data'!$C$2:$C$251,0))</f>
        <v>Emma Wilson</v>
      </c>
      <c r="C5" s="59">
        <f>SUMIFS('Raw Data'!$N$2:$N$251,'Raw Data'!$C$2:$C$251,A5)</f>
        <v>1229.8800000000001</v>
      </c>
      <c r="D5" s="58">
        <f>COUNTIFS('Raw Data'!$C$2:$C$251,A5)</f>
        <v>5</v>
      </c>
      <c r="E5" s="59">
        <f t="shared" si="0"/>
        <v>245.97600000000003</v>
      </c>
      <c r="F5" s="58">
        <f>RANK(C5,$C$4:$C$53,0)+COUNTIF($C$4:C5,C5)-1</f>
        <v>44</v>
      </c>
      <c r="G5" s="58" t="str">
        <f t="shared" si="1"/>
        <v>Low</v>
      </c>
      <c r="H5" s="58">
        <f>COUNTIFS('Raw Data'!$C$2:$C$251,A5,'Raw Data'!$F$2:$F$251,"Laptop")</f>
        <v>0</v>
      </c>
      <c r="I5" s="58" t="str">
        <f>IF(H5&gt;0,MAX(I$3:I4)+1,"")</f>
        <v/>
      </c>
      <c r="J5" s="58" t="str">
        <f t="shared" si="2"/>
        <v>Repeat</v>
      </c>
      <c r="L5" s="58">
        <v>2</v>
      </c>
      <c r="M5" s="58" t="str">
        <f t="shared" si="3"/>
        <v>Edward Mitchell</v>
      </c>
      <c r="N5" s="59">
        <f t="shared" si="4"/>
        <v>11919.769999999999</v>
      </c>
      <c r="O5" s="60">
        <f>N5/SUM('Raw Data'!$N$2:$N$251)</f>
        <v>5.2007685941863543E-2</v>
      </c>
      <c r="Q5" s="58">
        <v>2</v>
      </c>
      <c r="R5" s="58" t="str">
        <f t="shared" si="5"/>
        <v>Edward Mitchell</v>
      </c>
      <c r="S5" s="58" t="str">
        <f t="shared" si="6"/>
        <v>William White</v>
      </c>
      <c r="T5" s="58" t="str">
        <f t="shared" si="7"/>
        <v>Edward Mitchell</v>
      </c>
    </row>
    <row r="6" spans="1:20" x14ac:dyDescent="0.2">
      <c r="A6" s="58" t="s">
        <v>154</v>
      </c>
      <c r="B6" s="58" t="str">
        <f>INDEX('Raw Data'!$D$2:$D$251,MATCH(A6,'Raw Data'!$C$2:$C$251,0))</f>
        <v>Michael Brown</v>
      </c>
      <c r="C6" s="59">
        <f>SUMIFS('Raw Data'!$N$2:$N$251,'Raw Data'!$C$2:$C$251,A6)</f>
        <v>6169.7400000000007</v>
      </c>
      <c r="D6" s="58">
        <f>COUNTIFS('Raw Data'!$C$2:$C$251,A6)</f>
        <v>9</v>
      </c>
      <c r="E6" s="59">
        <f t="shared" si="0"/>
        <v>685.52666666666676</v>
      </c>
      <c r="F6" s="58">
        <f>RANK(C6,$C$4:$C$53,0)+COUNTIF($C$4:C6,C6)-1</f>
        <v>14</v>
      </c>
      <c r="G6" s="58" t="str">
        <f t="shared" si="1"/>
        <v>Mid</v>
      </c>
      <c r="H6" s="58">
        <f>COUNTIFS('Raw Data'!$C$2:$C$251,A6,'Raw Data'!$F$2:$F$251,"Laptop")</f>
        <v>0</v>
      </c>
      <c r="I6" s="58" t="str">
        <f>IF(H6&gt;0,MAX(I$3:I5)+1,"")</f>
        <v/>
      </c>
      <c r="J6" s="58" t="str">
        <f t="shared" si="2"/>
        <v>Repeat</v>
      </c>
      <c r="L6" s="58">
        <v>3</v>
      </c>
      <c r="M6" s="58" t="str">
        <f t="shared" si="3"/>
        <v>Barbara Young</v>
      </c>
      <c r="N6" s="59">
        <f t="shared" si="4"/>
        <v>10649.8</v>
      </c>
      <c r="O6" s="60">
        <f>N6/SUM('Raw Data'!$N$2:$N$251)</f>
        <v>4.6466622572722327E-2</v>
      </c>
      <c r="Q6" s="58">
        <v>3</v>
      </c>
      <c r="R6" s="58" t="str">
        <f t="shared" si="5"/>
        <v>Barbara Young</v>
      </c>
      <c r="S6" s="58" t="str">
        <f t="shared" si="6"/>
        <v>Patricia Moore</v>
      </c>
      <c r="T6" s="58" t="str">
        <f t="shared" si="7"/>
        <v>Barbara Young</v>
      </c>
    </row>
    <row r="7" spans="1:20" x14ac:dyDescent="0.2">
      <c r="A7" s="58" t="s">
        <v>254</v>
      </c>
      <c r="B7" s="58" t="str">
        <f>INDEX('Raw Data'!$D$2:$D$251,MATCH(A7,'Raw Data'!$C$2:$C$251,0))</f>
        <v>Sarah Davis</v>
      </c>
      <c r="C7" s="59">
        <f>SUMIFS('Raw Data'!$N$2:$N$251,'Raw Data'!$C$2:$C$251,A7)</f>
        <v>5499.8099999999995</v>
      </c>
      <c r="D7" s="58">
        <f>COUNTIFS('Raw Data'!$C$2:$C$251,A7)</f>
        <v>5</v>
      </c>
      <c r="E7" s="59">
        <f t="shared" si="0"/>
        <v>1099.962</v>
      </c>
      <c r="F7" s="58">
        <f>RANK(C7,$C$4:$C$53,0)+COUNTIF($C$4:C7,C7)-1</f>
        <v>19</v>
      </c>
      <c r="G7" s="58" t="str">
        <f t="shared" si="1"/>
        <v>Mid</v>
      </c>
      <c r="H7" s="58">
        <f>COUNTIFS('Raw Data'!$C$2:$C$251,A7,'Raw Data'!$F$2:$F$251,"Laptop")</f>
        <v>0</v>
      </c>
      <c r="I7" s="58" t="str">
        <f>IF(H7&gt;0,MAX(I$3:I6)+1,"")</f>
        <v/>
      </c>
      <c r="J7" s="58" t="str">
        <f t="shared" si="2"/>
        <v>Repeat</v>
      </c>
      <c r="L7" s="58">
        <v>4</v>
      </c>
      <c r="M7" s="58" t="str">
        <f t="shared" si="3"/>
        <v>Patricia Moore</v>
      </c>
      <c r="N7" s="59">
        <f t="shared" si="4"/>
        <v>9799.73</v>
      </c>
      <c r="O7" s="60">
        <f>N7/SUM('Raw Data'!$N$2:$N$251)</f>
        <v>4.2757643826605587E-2</v>
      </c>
      <c r="Q7" s="58">
        <v>4</v>
      </c>
      <c r="R7" s="58" t="str">
        <f t="shared" si="5"/>
        <v>Patricia Moore</v>
      </c>
      <c r="S7" s="58" t="str">
        <f t="shared" si="6"/>
        <v>Joseph Jackson</v>
      </c>
      <c r="T7" s="58" t="str">
        <f t="shared" si="7"/>
        <v>Patricia Moore</v>
      </c>
    </row>
    <row r="8" spans="1:20" x14ac:dyDescent="0.2">
      <c r="A8" s="58" t="s">
        <v>404</v>
      </c>
      <c r="B8" s="58" t="str">
        <f>INDEX('Raw Data'!$D$2:$D$251,MATCH(A8,'Raw Data'!$C$2:$C$251,0))</f>
        <v>James Johnson</v>
      </c>
      <c r="C8" s="59">
        <f>SUMIFS('Raw Data'!$N$2:$N$251,'Raw Data'!$C$2:$C$251,A8)</f>
        <v>179.97</v>
      </c>
      <c r="D8" s="58">
        <f>COUNTIFS('Raw Data'!$C$2:$C$251,A8)</f>
        <v>1</v>
      </c>
      <c r="E8" s="59">
        <f t="shared" si="0"/>
        <v>179.97</v>
      </c>
      <c r="F8" s="58">
        <f>RANK(C8,$C$4:$C$53,0)+COUNTIF($C$4:C8,C8)-1</f>
        <v>50</v>
      </c>
      <c r="G8" s="58" t="str">
        <f t="shared" si="1"/>
        <v>Low</v>
      </c>
      <c r="H8" s="58">
        <f>COUNTIFS('Raw Data'!$C$2:$C$251,A8,'Raw Data'!$F$2:$F$251,"Laptop")</f>
        <v>0</v>
      </c>
      <c r="I8" s="58" t="str">
        <f>IF(H8&gt;0,MAX(I$3:I7)+1,"")</f>
        <v/>
      </c>
      <c r="J8" s="58" t="str">
        <f t="shared" si="2"/>
        <v>One-time</v>
      </c>
      <c r="L8" s="58">
        <v>5</v>
      </c>
      <c r="M8" s="58" t="str">
        <f t="shared" si="3"/>
        <v>Paul Baker</v>
      </c>
      <c r="N8" s="59">
        <f t="shared" si="4"/>
        <v>8309.739999999998</v>
      </c>
      <c r="O8" s="60">
        <f>N8/SUM('Raw Data'!$N$2:$N$251)</f>
        <v>3.6256601274902212E-2</v>
      </c>
      <c r="Q8" s="58">
        <v>5</v>
      </c>
      <c r="R8" s="58" t="str">
        <f t="shared" si="5"/>
        <v>Paul Baker</v>
      </c>
      <c r="S8" s="58" t="str">
        <f t="shared" si="6"/>
        <v>Barbara Young</v>
      </c>
      <c r="T8" s="58" t="str">
        <f t="shared" si="7"/>
        <v>Paul Baker</v>
      </c>
    </row>
    <row r="9" spans="1:20" x14ac:dyDescent="0.2">
      <c r="A9" s="58" t="s">
        <v>229</v>
      </c>
      <c r="B9" s="58" t="str">
        <f>INDEX('Raw Data'!$D$2:$D$251,MATCH(A9,'Raw Data'!$C$2:$C$251,0))</f>
        <v>Lisa Anderson</v>
      </c>
      <c r="C9" s="59">
        <f>SUMIFS('Raw Data'!$N$2:$N$251,'Raw Data'!$C$2:$C$251,A9)</f>
        <v>2039.8000000000002</v>
      </c>
      <c r="D9" s="58">
        <f>COUNTIFS('Raw Data'!$C$2:$C$251,A9)</f>
        <v>5</v>
      </c>
      <c r="E9" s="59">
        <f t="shared" si="0"/>
        <v>407.96000000000004</v>
      </c>
      <c r="F9" s="58">
        <f>RANK(C9,$C$4:$C$53,0)+COUNTIF($C$4:C9,C9)-1</f>
        <v>36</v>
      </c>
      <c r="G9" s="58" t="str">
        <f t="shared" si="1"/>
        <v>Low</v>
      </c>
      <c r="H9" s="58">
        <f>COUNTIFS('Raw Data'!$C$2:$C$251,A9,'Raw Data'!$F$2:$F$251,"Laptop")</f>
        <v>0</v>
      </c>
      <c r="I9" s="58" t="str">
        <f>IF(H9&gt;0,MAX(I$3:I8)+1,"")</f>
        <v/>
      </c>
      <c r="J9" s="58" t="str">
        <f t="shared" si="2"/>
        <v>Repeat</v>
      </c>
      <c r="L9" s="58">
        <v>6</v>
      </c>
      <c r="M9" s="58" t="str">
        <f t="shared" si="3"/>
        <v>Dorothy Nelson</v>
      </c>
      <c r="N9" s="59">
        <f t="shared" si="4"/>
        <v>8269.7900000000009</v>
      </c>
      <c r="O9" s="60">
        <f>N9/SUM('Raw Data'!$N$2:$N$251)</f>
        <v>3.6082293628582077E-2</v>
      </c>
      <c r="Q9" s="58">
        <v>6</v>
      </c>
      <c r="R9" s="58" t="str">
        <f t="shared" si="5"/>
        <v>Dorothy Nelson</v>
      </c>
      <c r="S9" s="58" t="str">
        <f t="shared" si="6"/>
        <v>Daniel King</v>
      </c>
      <c r="T9" s="58" t="str">
        <f t="shared" si="7"/>
        <v>Dorothy Nelson</v>
      </c>
    </row>
    <row r="10" spans="1:20" x14ac:dyDescent="0.2">
      <c r="A10" s="58" t="s">
        <v>282</v>
      </c>
      <c r="B10" s="58" t="str">
        <f>INDEX('Raw Data'!$D$2:$D$251,MATCH(A10,'Raw Data'!$C$2:$C$251,0))</f>
        <v>David Martinez</v>
      </c>
      <c r="C10" s="59">
        <f>SUMIFS('Raw Data'!$N$2:$N$251,'Raw Data'!$C$2:$C$251,A10)</f>
        <v>1809.84</v>
      </c>
      <c r="D10" s="58">
        <f>COUNTIFS('Raw Data'!$C$2:$C$251,A10)</f>
        <v>6</v>
      </c>
      <c r="E10" s="59">
        <f t="shared" si="0"/>
        <v>301.64</v>
      </c>
      <c r="F10" s="58">
        <f>RANK(C10,$C$4:$C$53,0)+COUNTIF($C$4:C10,C10)-1</f>
        <v>39</v>
      </c>
      <c r="G10" s="58" t="str">
        <f t="shared" si="1"/>
        <v>Low</v>
      </c>
      <c r="H10" s="58">
        <f>COUNTIFS('Raw Data'!$C$2:$C$251,A10,'Raw Data'!$F$2:$F$251,"Laptop")</f>
        <v>0</v>
      </c>
      <c r="I10" s="58" t="str">
        <f>IF(H10&gt;0,MAX(I$3:I9)+1,"")</f>
        <v/>
      </c>
      <c r="J10" s="58" t="str">
        <f t="shared" si="2"/>
        <v>Repeat</v>
      </c>
      <c r="L10" s="58">
        <v>7</v>
      </c>
      <c r="M10" s="58" t="str">
        <f t="shared" si="3"/>
        <v>Karen Hill</v>
      </c>
      <c r="N10" s="59">
        <f t="shared" si="4"/>
        <v>8009.7699999999995</v>
      </c>
      <c r="O10" s="60">
        <f>N10/SUM('Raw Data'!$N$2:$N$251)</f>
        <v>3.4947788642445313E-2</v>
      </c>
      <c r="Q10" s="58">
        <v>7</v>
      </c>
      <c r="R10" s="58" t="str">
        <f t="shared" si="5"/>
        <v>Karen Hill</v>
      </c>
      <c r="S10" s="58" t="str">
        <f t="shared" si="6"/>
        <v>Kevin Scott</v>
      </c>
      <c r="T10" s="58" t="str">
        <f t="shared" si="7"/>
        <v/>
      </c>
    </row>
    <row r="11" spans="1:20" x14ac:dyDescent="0.2">
      <c r="A11" s="58" t="s">
        <v>241</v>
      </c>
      <c r="B11" s="58" t="str">
        <f>INDEX('Raw Data'!$D$2:$D$251,MATCH(A11,'Raw Data'!$C$2:$C$251,0))</f>
        <v>Jennifer Taylor</v>
      </c>
      <c r="C11" s="59">
        <f>SUMIFS('Raw Data'!$N$2:$N$251,'Raw Data'!$C$2:$C$251,A11)</f>
        <v>4739.8500000000004</v>
      </c>
      <c r="D11" s="58">
        <f>COUNTIFS('Raw Data'!$C$2:$C$251,A11)</f>
        <v>4</v>
      </c>
      <c r="E11" s="59">
        <f t="shared" si="0"/>
        <v>1184.9625000000001</v>
      </c>
      <c r="F11" s="58">
        <f>RANK(C11,$C$4:$C$53,0)+COUNTIF($C$4:C11,C11)-1</f>
        <v>24</v>
      </c>
      <c r="G11" s="58" t="str">
        <f t="shared" si="1"/>
        <v>Mid</v>
      </c>
      <c r="H11" s="58">
        <f>COUNTIFS('Raw Data'!$C$2:$C$251,A11,'Raw Data'!$F$2:$F$251,"Laptop")</f>
        <v>0</v>
      </c>
      <c r="I11" s="58" t="str">
        <f>IF(H11&gt;0,MAX(I$3:I10)+1,"")</f>
        <v/>
      </c>
      <c r="J11" s="58" t="str">
        <f t="shared" si="2"/>
        <v>Repeat</v>
      </c>
      <c r="L11" s="58">
        <v>8</v>
      </c>
      <c r="M11" s="58" t="str">
        <f t="shared" si="3"/>
        <v>Daniel King</v>
      </c>
      <c r="N11" s="59">
        <f t="shared" si="4"/>
        <v>7309.7999999999993</v>
      </c>
      <c r="O11" s="60">
        <f>N11/SUM('Raw Data'!$N$2:$N$251)</f>
        <v>3.18937179742423E-2</v>
      </c>
      <c r="Q11" s="58">
        <v>8</v>
      </c>
      <c r="R11" s="58" t="str">
        <f t="shared" si="5"/>
        <v>Daniel King</v>
      </c>
      <c r="S11" s="58" t="str">
        <f t="shared" si="6"/>
        <v>Paul Baker</v>
      </c>
      <c r="T11" s="58" t="str">
        <f t="shared" si="7"/>
        <v>Daniel King</v>
      </c>
    </row>
    <row r="12" spans="1:20" x14ac:dyDescent="0.2">
      <c r="A12" s="58" t="s">
        <v>166</v>
      </c>
      <c r="B12" s="58" t="str">
        <f>INDEX('Raw Data'!$D$2:$D$251,MATCH(A12,'Raw Data'!$C$2:$C$251,0))</f>
        <v>Robert Thomas</v>
      </c>
      <c r="C12" s="59">
        <f>SUMIFS('Raw Data'!$N$2:$N$251,'Raw Data'!$C$2:$C$251,A12)</f>
        <v>3509.8999999999996</v>
      </c>
      <c r="D12" s="58">
        <f>COUNTIFS('Raw Data'!$C$2:$C$251,A12)</f>
        <v>5</v>
      </c>
      <c r="E12" s="59">
        <f t="shared" si="0"/>
        <v>701.9799999999999</v>
      </c>
      <c r="F12" s="58">
        <f>RANK(C12,$C$4:$C$53,0)+COUNTIF($C$4:C12,C12)-1</f>
        <v>32</v>
      </c>
      <c r="G12" s="58" t="str">
        <f t="shared" si="1"/>
        <v>Low</v>
      </c>
      <c r="H12" s="58">
        <f>COUNTIFS('Raw Data'!$C$2:$C$251,A12,'Raw Data'!$F$2:$F$251,"Laptop")</f>
        <v>1</v>
      </c>
      <c r="I12" s="58">
        <f>IF(H12&gt;0,MAX(I$3:I11)+1,"")</f>
        <v>1</v>
      </c>
      <c r="J12" s="58" t="str">
        <f t="shared" si="2"/>
        <v>Repeat</v>
      </c>
      <c r="L12" s="58">
        <v>9</v>
      </c>
      <c r="M12" s="58" t="str">
        <f t="shared" si="3"/>
        <v>Lawrence Reed</v>
      </c>
      <c r="N12" s="59">
        <f t="shared" si="4"/>
        <v>6989.7699999999986</v>
      </c>
      <c r="O12" s="60">
        <f>N12/SUM('Raw Data'!$N$2:$N$251)</f>
        <v>3.0497380651292726E-2</v>
      </c>
      <c r="Q12" s="58">
        <v>9</v>
      </c>
      <c r="R12" s="58" t="str">
        <f t="shared" si="5"/>
        <v>Lawrence Reed</v>
      </c>
      <c r="S12" s="58" t="str">
        <f t="shared" si="6"/>
        <v>Dorothy Nelson</v>
      </c>
      <c r="T12" s="58" t="str">
        <f t="shared" si="7"/>
        <v/>
      </c>
    </row>
    <row r="13" spans="1:20" x14ac:dyDescent="0.2">
      <c r="A13" s="58" t="s">
        <v>193</v>
      </c>
      <c r="B13" s="58" t="str">
        <f>INDEX('Raw Data'!$D$2:$D$251,MATCH(A13,'Raw Data'!$C$2:$C$251,0))</f>
        <v>Maria Garcia</v>
      </c>
      <c r="C13" s="59">
        <f>SUMIFS('Raw Data'!$N$2:$N$251,'Raw Data'!$C$2:$C$251,A13)</f>
        <v>1909.93</v>
      </c>
      <c r="D13" s="58">
        <f>COUNTIFS('Raw Data'!$C$2:$C$251,A13)</f>
        <v>4</v>
      </c>
      <c r="E13" s="59">
        <f t="shared" si="0"/>
        <v>477.48250000000002</v>
      </c>
      <c r="F13" s="58">
        <f>RANK(C13,$C$4:$C$53,0)+COUNTIF($C$4:C13,C13)-1</f>
        <v>38</v>
      </c>
      <c r="G13" s="58" t="str">
        <f t="shared" si="1"/>
        <v>Low</v>
      </c>
      <c r="H13" s="58">
        <f>COUNTIFS('Raw Data'!$C$2:$C$251,A13,'Raw Data'!$F$2:$F$251,"Laptop")</f>
        <v>0</v>
      </c>
      <c r="I13" s="58" t="str">
        <f>IF(H13&gt;0,MAX(I$3:I12)+1,"")</f>
        <v/>
      </c>
      <c r="J13" s="58" t="str">
        <f t="shared" si="2"/>
        <v>Repeat</v>
      </c>
      <c r="L13" s="58">
        <v>10</v>
      </c>
      <c r="M13" s="58" t="str">
        <f t="shared" si="3"/>
        <v>Joseph Jackson</v>
      </c>
      <c r="N13" s="59">
        <f t="shared" si="4"/>
        <v>6949.84</v>
      </c>
      <c r="O13" s="60">
        <f>N13/SUM('Raw Data'!$N$2:$N$251)</f>
        <v>3.0323160267874377E-2</v>
      </c>
      <c r="Q13" s="58">
        <v>10</v>
      </c>
      <c r="R13" s="58" t="str">
        <f t="shared" si="5"/>
        <v>Joseph Jackson</v>
      </c>
      <c r="S13" s="58" t="str">
        <f t="shared" si="6"/>
        <v>Mark Carter</v>
      </c>
      <c r="T13" s="58" t="str">
        <f t="shared" si="7"/>
        <v>Joseph Jackson</v>
      </c>
    </row>
    <row r="14" spans="1:20" x14ac:dyDescent="0.2">
      <c r="A14" s="58" t="s">
        <v>352</v>
      </c>
      <c r="B14" s="58" t="str">
        <f>INDEX('Raw Data'!$D$2:$D$251,MATCH(A14,'Raw Data'!$C$2:$C$251,0))</f>
        <v>William White</v>
      </c>
      <c r="C14" s="59">
        <f>SUMIFS('Raw Data'!$N$2:$N$251,'Raw Data'!$C$2:$C$251,A14)</f>
        <v>4749.91</v>
      </c>
      <c r="D14" s="58">
        <f>COUNTIFS('Raw Data'!$C$2:$C$251,A14)</f>
        <v>3</v>
      </c>
      <c r="E14" s="59">
        <f t="shared" si="0"/>
        <v>1583.3033333333333</v>
      </c>
      <c r="F14" s="58">
        <f>RANK(C14,$C$4:$C$53,0)+COUNTIF($C$4:C14,C14)-1</f>
        <v>23</v>
      </c>
      <c r="G14" s="58" t="str">
        <f t="shared" si="1"/>
        <v>Mid</v>
      </c>
      <c r="H14" s="58">
        <f>COUNTIFS('Raw Data'!$C$2:$C$251,A14,'Raw Data'!$F$2:$F$251,"Laptop")</f>
        <v>1</v>
      </c>
      <c r="I14" s="58">
        <f>IF(H14&gt;0,MAX(I$3:I13)+1,"")</f>
        <v>2</v>
      </c>
      <c r="J14" s="58" t="str">
        <f t="shared" si="2"/>
        <v>Repeat</v>
      </c>
      <c r="Q14" s="58">
        <v>11</v>
      </c>
      <c r="R14" s="58" t="str">
        <f t="shared" si="5"/>
        <v>Helen Roberts</v>
      </c>
      <c r="S14" s="58" t="str">
        <f t="shared" si="6"/>
        <v>George Adams</v>
      </c>
      <c r="T14" s="58" t="str">
        <f t="shared" si="7"/>
        <v>Helen Roberts</v>
      </c>
    </row>
    <row r="15" spans="1:20" x14ac:dyDescent="0.2">
      <c r="A15" s="58" t="s">
        <v>203</v>
      </c>
      <c r="B15" s="58" t="str">
        <f>INDEX('Raw Data'!$D$2:$D$251,MATCH(A15,'Raw Data'!$C$2:$C$251,0))</f>
        <v>Patricia Moore</v>
      </c>
      <c r="C15" s="59">
        <f>SUMIFS('Raw Data'!$N$2:$N$251,'Raw Data'!$C$2:$C$251,A15)</f>
        <v>9799.73</v>
      </c>
      <c r="D15" s="58">
        <f>COUNTIFS('Raw Data'!$C$2:$C$251,A15)</f>
        <v>8</v>
      </c>
      <c r="E15" s="59">
        <f t="shared" si="0"/>
        <v>1224.9662499999999</v>
      </c>
      <c r="F15" s="58">
        <f>RANK(C15,$C$4:$C$53,0)+COUNTIF($C$4:C15,C15)-1</f>
        <v>4</v>
      </c>
      <c r="G15" s="58" t="str">
        <f t="shared" si="1"/>
        <v>High-Value</v>
      </c>
      <c r="H15" s="58">
        <f>COUNTIFS('Raw Data'!$C$2:$C$251,A15,'Raw Data'!$F$2:$F$251,"Laptop")</f>
        <v>1</v>
      </c>
      <c r="I15" s="58">
        <f>IF(H15&gt;0,MAX(I$3:I14)+1,"")</f>
        <v>3</v>
      </c>
      <c r="J15" s="58" t="str">
        <f t="shared" si="2"/>
        <v>Repeat</v>
      </c>
      <c r="Q15" s="58">
        <v>12</v>
      </c>
      <c r="R15" s="58" t="str">
        <f t="shared" si="5"/>
        <v>Gerald Murphy</v>
      </c>
      <c r="S15" s="58" t="str">
        <f t="shared" si="6"/>
        <v>Edward Mitchell</v>
      </c>
      <c r="T15" s="58" t="str">
        <f t="shared" si="7"/>
        <v>Gerald Murphy</v>
      </c>
    </row>
    <row r="16" spans="1:20" x14ac:dyDescent="0.2">
      <c r="A16" s="58" t="s">
        <v>142</v>
      </c>
      <c r="B16" s="58" t="str">
        <f>INDEX('Raw Data'!$D$2:$D$251,MATCH(A16,'Raw Data'!$C$2:$C$251,0))</f>
        <v>Joseph Jackson</v>
      </c>
      <c r="C16" s="59">
        <f>SUMIFS('Raw Data'!$N$2:$N$251,'Raw Data'!$C$2:$C$251,A16)</f>
        <v>6949.84</v>
      </c>
      <c r="D16" s="58">
        <f>COUNTIFS('Raw Data'!$C$2:$C$251,A16)</f>
        <v>5</v>
      </c>
      <c r="E16" s="59">
        <f t="shared" si="0"/>
        <v>1389.9680000000001</v>
      </c>
      <c r="F16" s="58">
        <f>RANK(C16,$C$4:$C$53,0)+COUNTIF($C$4:C16,C16)-1</f>
        <v>10</v>
      </c>
      <c r="G16" s="58" t="str">
        <f t="shared" si="1"/>
        <v>High-Value</v>
      </c>
      <c r="H16" s="58">
        <f>COUNTIFS('Raw Data'!$C$2:$C$251,A16,'Raw Data'!$F$2:$F$251,"Laptop")</f>
        <v>1</v>
      </c>
      <c r="I16" s="58">
        <f>IF(H16&gt;0,MAX(I$3:I15)+1,"")</f>
        <v>4</v>
      </c>
      <c r="J16" s="58" t="str">
        <f t="shared" si="2"/>
        <v>Repeat</v>
      </c>
      <c r="Q16" s="58">
        <v>13</v>
      </c>
      <c r="R16" s="58" t="str">
        <f t="shared" si="5"/>
        <v>Sandra Phillips</v>
      </c>
      <c r="S16" s="58" t="str">
        <f t="shared" si="6"/>
        <v>Helen Roberts</v>
      </c>
      <c r="T16" s="58" t="str">
        <f t="shared" si="7"/>
        <v>Sandra Phillips</v>
      </c>
    </row>
    <row r="17" spans="1:20" x14ac:dyDescent="0.2">
      <c r="A17" s="58" t="s">
        <v>215</v>
      </c>
      <c r="B17" s="58" t="str">
        <f>INDEX('Raw Data'!$D$2:$D$251,MATCH(A17,'Raw Data'!$C$2:$C$251,0))</f>
        <v>Linda Martin</v>
      </c>
      <c r="C17" s="59">
        <f>SUMIFS('Raw Data'!$N$2:$N$251,'Raw Data'!$C$2:$C$251,A17)</f>
        <v>1289.9000000000001</v>
      </c>
      <c r="D17" s="58">
        <f>COUNTIFS('Raw Data'!$C$2:$C$251,A17)</f>
        <v>4</v>
      </c>
      <c r="E17" s="59">
        <f t="shared" si="0"/>
        <v>322.47500000000002</v>
      </c>
      <c r="F17" s="58">
        <f>RANK(C17,$C$4:$C$53,0)+COUNTIF($C$4:C17,C17)-1</f>
        <v>43</v>
      </c>
      <c r="G17" s="58" t="str">
        <f t="shared" si="1"/>
        <v>Low</v>
      </c>
      <c r="H17" s="58">
        <f>COUNTIFS('Raw Data'!$C$2:$C$251,A17,'Raw Data'!$F$2:$F$251,"Laptop")</f>
        <v>0</v>
      </c>
      <c r="I17" s="58" t="str">
        <f>IF(H17&gt;0,MAX(I$3:I16)+1,"")</f>
        <v/>
      </c>
      <c r="J17" s="58" t="str">
        <f t="shared" si="2"/>
        <v>Repeat</v>
      </c>
      <c r="Q17" s="58">
        <v>14</v>
      </c>
      <c r="R17" s="58" t="str">
        <f t="shared" si="5"/>
        <v>Michael Brown</v>
      </c>
      <c r="S17" s="58" t="str">
        <f t="shared" si="6"/>
        <v>Sandra Phillips</v>
      </c>
      <c r="T17" s="58" t="str">
        <f t="shared" si="7"/>
        <v/>
      </c>
    </row>
    <row r="18" spans="1:20" x14ac:dyDescent="0.2">
      <c r="A18" s="58" t="s">
        <v>359</v>
      </c>
      <c r="B18" s="58" t="str">
        <f>INDEX('Raw Data'!$D$2:$D$251,MATCH(A18,'Raw Data'!$C$2:$C$251,0))</f>
        <v>Richard Lee</v>
      </c>
      <c r="C18" s="59">
        <f>SUMIFS('Raw Data'!$N$2:$N$251,'Raw Data'!$C$2:$C$251,A18)</f>
        <v>739.93000000000006</v>
      </c>
      <c r="D18" s="58">
        <f>COUNTIFS('Raw Data'!$C$2:$C$251,A18)</f>
        <v>3</v>
      </c>
      <c r="E18" s="59">
        <f t="shared" si="0"/>
        <v>246.64333333333335</v>
      </c>
      <c r="F18" s="58">
        <f>RANK(C18,$C$4:$C$53,0)+COUNTIF($C$4:C18,C18)-1</f>
        <v>46</v>
      </c>
      <c r="G18" s="58" t="str">
        <f t="shared" si="1"/>
        <v>Low</v>
      </c>
      <c r="H18" s="58">
        <f>COUNTIFS('Raw Data'!$C$2:$C$251,A18,'Raw Data'!$F$2:$F$251,"Laptop")</f>
        <v>0</v>
      </c>
      <c r="I18" s="58" t="str">
        <f>IF(H18&gt;0,MAX(I$3:I17)+1,"")</f>
        <v/>
      </c>
      <c r="J18" s="58" t="str">
        <f t="shared" si="2"/>
        <v>Repeat</v>
      </c>
      <c r="Q18" s="58">
        <v>15</v>
      </c>
      <c r="R18" s="58" t="str">
        <f t="shared" si="5"/>
        <v>Peter Richardson</v>
      </c>
      <c r="S18" s="58" t="str">
        <f t="shared" si="6"/>
        <v>Harry Morgan</v>
      </c>
      <c r="T18" s="58" t="str">
        <f t="shared" si="7"/>
        <v>Peter Richardson</v>
      </c>
    </row>
    <row r="19" spans="1:20" x14ac:dyDescent="0.2">
      <c r="A19" s="58" t="s">
        <v>311</v>
      </c>
      <c r="B19" s="58" t="str">
        <f>INDEX('Raw Data'!$D$2:$D$251,MATCH(A19,'Raw Data'!$C$2:$C$251,0))</f>
        <v>Elizabeth Hall</v>
      </c>
      <c r="C19" s="59">
        <f>SUMIFS('Raw Data'!$N$2:$N$251,'Raw Data'!$C$2:$C$251,A19)</f>
        <v>3649.8599999999997</v>
      </c>
      <c r="D19" s="58">
        <f>COUNTIFS('Raw Data'!$C$2:$C$251,A19)</f>
        <v>4</v>
      </c>
      <c r="E19" s="59">
        <f t="shared" si="0"/>
        <v>912.46499999999992</v>
      </c>
      <c r="F19" s="58">
        <f>RANK(C19,$C$4:$C$53,0)+COUNTIF($C$4:C19,C19)-1</f>
        <v>31</v>
      </c>
      <c r="G19" s="58" t="str">
        <f t="shared" si="1"/>
        <v>Low</v>
      </c>
      <c r="H19" s="58">
        <f>COUNTIFS('Raw Data'!$C$2:$C$251,A19,'Raw Data'!$F$2:$F$251,"Laptop")</f>
        <v>0</v>
      </c>
      <c r="I19" s="58" t="str">
        <f>IF(H19&gt;0,MAX(I$3:I18)+1,"")</f>
        <v/>
      </c>
      <c r="J19" s="58" t="str">
        <f t="shared" si="2"/>
        <v>Repeat</v>
      </c>
      <c r="Q19" s="58">
        <v>16</v>
      </c>
      <c r="R19" s="58"/>
      <c r="S19" s="58" t="str">
        <f t="shared" si="6"/>
        <v>Arthur Edwards</v>
      </c>
      <c r="T19" s="58"/>
    </row>
    <row r="20" spans="1:20" x14ac:dyDescent="0.2">
      <c r="A20" s="58" t="s">
        <v>163</v>
      </c>
      <c r="B20" s="58" t="str">
        <f>INDEX('Raw Data'!$D$2:$D$251,MATCH(A20,'Raw Data'!$C$2:$C$251,0))</f>
        <v>Charles Allen</v>
      </c>
      <c r="C20" s="59">
        <f>SUMIFS('Raw Data'!$N$2:$N$251,'Raw Data'!$C$2:$C$251,A20)</f>
        <v>5089.7300000000005</v>
      </c>
      <c r="D20" s="58">
        <f>COUNTIFS('Raw Data'!$C$2:$C$251,A20)</f>
        <v>9</v>
      </c>
      <c r="E20" s="59">
        <f t="shared" si="0"/>
        <v>565.52555555555557</v>
      </c>
      <c r="F20" s="58">
        <f>RANK(C20,$C$4:$C$53,0)+COUNTIF($C$4:C20,C20)-1</f>
        <v>20</v>
      </c>
      <c r="G20" s="58" t="str">
        <f t="shared" si="1"/>
        <v>Mid</v>
      </c>
      <c r="H20" s="58">
        <f>COUNTIFS('Raw Data'!$C$2:$C$251,A20,'Raw Data'!$F$2:$F$251,"Laptop")</f>
        <v>0</v>
      </c>
      <c r="I20" s="58" t="str">
        <f>IF(H20&gt;0,MAX(I$3:I19)+1,"")</f>
        <v/>
      </c>
      <c r="J20" s="58" t="str">
        <f t="shared" si="2"/>
        <v>Repeat</v>
      </c>
      <c r="Q20" s="58">
        <v>17</v>
      </c>
      <c r="R20" s="58"/>
      <c r="S20" s="58" t="str">
        <f t="shared" si="6"/>
        <v>Sharon Butler</v>
      </c>
      <c r="T20" s="58"/>
    </row>
    <row r="21" spans="1:20" x14ac:dyDescent="0.2">
      <c r="A21" s="58" t="s">
        <v>200</v>
      </c>
      <c r="B21" s="58" t="str">
        <f>INDEX('Raw Data'!$D$2:$D$251,MATCH(A21,'Raw Data'!$C$2:$C$251,0))</f>
        <v>Barbara Young</v>
      </c>
      <c r="C21" s="59">
        <f>SUMIFS('Raw Data'!$N$2:$N$251,'Raw Data'!$C$2:$C$251,A21)</f>
        <v>10649.8</v>
      </c>
      <c r="D21" s="58">
        <f>COUNTIFS('Raw Data'!$C$2:$C$251,A21)</f>
        <v>5</v>
      </c>
      <c r="E21" s="59">
        <f t="shared" si="0"/>
        <v>2129.96</v>
      </c>
      <c r="F21" s="58">
        <f>RANK(C21,$C$4:$C$53,0)+COUNTIF($C$4:C21,C21)-1</f>
        <v>3</v>
      </c>
      <c r="G21" s="58" t="str">
        <f t="shared" si="1"/>
        <v>High-Value</v>
      </c>
      <c r="H21" s="58">
        <f>COUNTIFS('Raw Data'!$C$2:$C$251,A21,'Raw Data'!$F$2:$F$251,"Laptop")</f>
        <v>1</v>
      </c>
      <c r="I21" s="58">
        <f>IF(H21&gt;0,MAX(I$3:I20)+1,"")</f>
        <v>5</v>
      </c>
      <c r="J21" s="58" t="str">
        <f t="shared" si="2"/>
        <v>Repeat</v>
      </c>
      <c r="Q21" s="58">
        <v>18</v>
      </c>
      <c r="R21" s="58"/>
      <c r="S21" s="58" t="str">
        <f t="shared" si="6"/>
        <v>Peter Richardson</v>
      </c>
      <c r="T21" s="58"/>
    </row>
    <row r="22" spans="1:20" x14ac:dyDescent="0.2">
      <c r="A22" s="58" t="s">
        <v>247</v>
      </c>
      <c r="B22" s="58" t="str">
        <f>INDEX('Raw Data'!$D$2:$D$251,MATCH(A22,'Raw Data'!$C$2:$C$251,0))</f>
        <v>Daniel King</v>
      </c>
      <c r="C22" s="59">
        <f>SUMIFS('Raw Data'!$N$2:$N$251,'Raw Data'!$C$2:$C$251,A22)</f>
        <v>7309.7999999999993</v>
      </c>
      <c r="D22" s="58">
        <f>COUNTIFS('Raw Data'!$C$2:$C$251,A22)</f>
        <v>7</v>
      </c>
      <c r="E22" s="59">
        <f t="shared" si="0"/>
        <v>1044.2571428571428</v>
      </c>
      <c r="F22" s="58">
        <f>RANK(C22,$C$4:$C$53,0)+COUNTIF($C$4:C22,C22)-1</f>
        <v>8</v>
      </c>
      <c r="G22" s="58" t="str">
        <f t="shared" si="1"/>
        <v>High-Value</v>
      </c>
      <c r="H22" s="58">
        <f>COUNTIFS('Raw Data'!$C$2:$C$251,A22,'Raw Data'!$F$2:$F$251,"Laptop")</f>
        <v>1</v>
      </c>
      <c r="I22" s="58">
        <f>IF(H22&gt;0,MAX(I$3:I21)+1,"")</f>
        <v>6</v>
      </c>
      <c r="J22" s="58" t="str">
        <f t="shared" si="2"/>
        <v>Repeat</v>
      </c>
      <c r="Q22" s="58">
        <v>19</v>
      </c>
      <c r="R22" s="58"/>
      <c r="S22" s="58" t="str">
        <f t="shared" si="6"/>
        <v>Gerald Murphy</v>
      </c>
      <c r="T22" s="58"/>
    </row>
    <row r="23" spans="1:20" x14ac:dyDescent="0.2">
      <c r="A23" s="58" t="s">
        <v>285</v>
      </c>
      <c r="B23" s="58" t="str">
        <f>INDEX('Raw Data'!$D$2:$D$251,MATCH(A23,'Raw Data'!$C$2:$C$251,0))</f>
        <v>Margaret Wright</v>
      </c>
      <c r="C23" s="59">
        <f>SUMIFS('Raw Data'!$N$2:$N$251,'Raw Data'!$C$2:$C$251,A23)</f>
        <v>2099.88</v>
      </c>
      <c r="D23" s="58">
        <f>COUNTIFS('Raw Data'!$C$2:$C$251,A23)</f>
        <v>4</v>
      </c>
      <c r="E23" s="59">
        <f t="shared" si="0"/>
        <v>524.97</v>
      </c>
      <c r="F23" s="58">
        <f>RANK(C23,$C$4:$C$53,0)+COUNTIF($C$4:C23,C23)-1</f>
        <v>35</v>
      </c>
      <c r="G23" s="58" t="str">
        <f t="shared" si="1"/>
        <v>Low</v>
      </c>
      <c r="H23" s="58">
        <f>COUNTIFS('Raw Data'!$C$2:$C$251,A23,'Raw Data'!$F$2:$F$251,"Laptop")</f>
        <v>0</v>
      </c>
      <c r="I23" s="58" t="str">
        <f>IF(H23&gt;0,MAX(I$3:I22)+1,"")</f>
        <v/>
      </c>
      <c r="J23" s="58" t="str">
        <f t="shared" si="2"/>
        <v>Repeat</v>
      </c>
      <c r="Q23" s="58">
        <v>20</v>
      </c>
      <c r="R23" s="58"/>
      <c r="S23" s="58" t="str">
        <f t="shared" si="6"/>
        <v/>
      </c>
      <c r="T23" s="58"/>
    </row>
    <row r="24" spans="1:20" x14ac:dyDescent="0.2">
      <c r="A24" s="58" t="s">
        <v>146</v>
      </c>
      <c r="B24" s="58" t="str">
        <f>INDEX('Raw Data'!$D$2:$D$251,MATCH(A24,'Raw Data'!$C$2:$C$251,0))</f>
        <v>Kevin Scott</v>
      </c>
      <c r="C24" s="59">
        <f>SUMIFS('Raw Data'!$N$2:$N$251,'Raw Data'!$C$2:$C$251,A24)</f>
        <v>3259.87</v>
      </c>
      <c r="D24" s="58">
        <f>COUNTIFS('Raw Data'!$C$2:$C$251,A24)</f>
        <v>6</v>
      </c>
      <c r="E24" s="59">
        <f t="shared" si="0"/>
        <v>543.31166666666661</v>
      </c>
      <c r="F24" s="58">
        <f>RANK(C24,$C$4:$C$53,0)+COUNTIF($C$4:C24,C24)-1</f>
        <v>33</v>
      </c>
      <c r="G24" s="58" t="str">
        <f t="shared" si="1"/>
        <v>Low</v>
      </c>
      <c r="H24" s="58">
        <f>COUNTIFS('Raw Data'!$C$2:$C$251,A24,'Raw Data'!$F$2:$F$251,"Laptop")</f>
        <v>1</v>
      </c>
      <c r="I24" s="58">
        <f>IF(H24&gt;0,MAX(I$3:I23)+1,"")</f>
        <v>7</v>
      </c>
      <c r="J24" s="58" t="str">
        <f t="shared" si="2"/>
        <v>Repeat</v>
      </c>
      <c r="Q24" s="58">
        <v>21</v>
      </c>
      <c r="R24" s="58"/>
      <c r="S24" s="58" t="str">
        <f t="shared" si="6"/>
        <v/>
      </c>
      <c r="T24" s="58"/>
    </row>
    <row r="25" spans="1:20" x14ac:dyDescent="0.2">
      <c r="A25" s="58" t="s">
        <v>173</v>
      </c>
      <c r="B25" s="58" t="str">
        <f>INDEX('Raw Data'!$D$2:$D$251,MATCH(A25,'Raw Data'!$C$2:$C$251,0))</f>
        <v>Susan Green</v>
      </c>
      <c r="C25" s="59">
        <f>SUMIFS('Raw Data'!$N$2:$N$251,'Raw Data'!$C$2:$C$251,A25)</f>
        <v>1979.89</v>
      </c>
      <c r="D25" s="58">
        <f>COUNTIFS('Raw Data'!$C$2:$C$251,A25)</f>
        <v>4</v>
      </c>
      <c r="E25" s="59">
        <f t="shared" si="0"/>
        <v>494.97250000000003</v>
      </c>
      <c r="F25" s="58">
        <f>RANK(C25,$C$4:$C$53,0)+COUNTIF($C$4:C25,C25)-1</f>
        <v>37</v>
      </c>
      <c r="G25" s="58" t="str">
        <f t="shared" si="1"/>
        <v>Low</v>
      </c>
      <c r="H25" s="58">
        <f>COUNTIFS('Raw Data'!$C$2:$C$251,A25,'Raw Data'!$F$2:$F$251,"Laptop")</f>
        <v>0</v>
      </c>
      <c r="I25" s="58" t="str">
        <f>IF(H25&gt;0,MAX(I$3:I24)+1,"")</f>
        <v/>
      </c>
      <c r="J25" s="58" t="str">
        <f t="shared" si="2"/>
        <v>Repeat</v>
      </c>
      <c r="Q25" s="58">
        <v>22</v>
      </c>
      <c r="R25" s="58"/>
      <c r="S25" s="58" t="str">
        <f t="shared" si="6"/>
        <v/>
      </c>
      <c r="T25" s="58"/>
    </row>
    <row r="26" spans="1:20" x14ac:dyDescent="0.2">
      <c r="A26" s="58" t="s">
        <v>137</v>
      </c>
      <c r="B26" s="58" t="str">
        <f>INDEX('Raw Data'!$D$2:$D$251,MATCH(A26,'Raw Data'!$C$2:$C$251,0))</f>
        <v>Paul Baker</v>
      </c>
      <c r="C26" s="59">
        <f>SUMIFS('Raw Data'!$N$2:$N$251,'Raw Data'!$C$2:$C$251,A26)</f>
        <v>8309.739999999998</v>
      </c>
      <c r="D26" s="58">
        <f>COUNTIFS('Raw Data'!$C$2:$C$251,A26)</f>
        <v>8</v>
      </c>
      <c r="E26" s="59">
        <f t="shared" si="0"/>
        <v>1038.7174999999997</v>
      </c>
      <c r="F26" s="58">
        <f>RANK(C26,$C$4:$C$53,0)+COUNTIF($C$4:C26,C26)-1</f>
        <v>5</v>
      </c>
      <c r="G26" s="58" t="str">
        <f t="shared" si="1"/>
        <v>High-Value</v>
      </c>
      <c r="H26" s="58">
        <f>COUNTIFS('Raw Data'!$C$2:$C$251,A26,'Raw Data'!$F$2:$F$251,"Laptop")</f>
        <v>1</v>
      </c>
      <c r="I26" s="58">
        <f>IF(H26&gt;0,MAX(I$3:I25)+1,"")</f>
        <v>8</v>
      </c>
      <c r="J26" s="58" t="str">
        <f t="shared" si="2"/>
        <v>Repeat</v>
      </c>
      <c r="Q26" s="58">
        <v>23</v>
      </c>
      <c r="R26" s="58"/>
      <c r="S26" s="58" t="str">
        <f t="shared" si="6"/>
        <v/>
      </c>
      <c r="T26" s="58"/>
    </row>
    <row r="27" spans="1:20" x14ac:dyDescent="0.2">
      <c r="A27" s="58" t="s">
        <v>158</v>
      </c>
      <c r="B27" s="58" t="str">
        <f>INDEX('Raw Data'!$D$2:$D$251,MATCH(A27,'Raw Data'!$C$2:$C$251,0))</f>
        <v>Dorothy Nelson</v>
      </c>
      <c r="C27" s="59">
        <f>SUMIFS('Raw Data'!$N$2:$N$251,'Raw Data'!$C$2:$C$251,A27)</f>
        <v>8269.7900000000009</v>
      </c>
      <c r="D27" s="58">
        <f>COUNTIFS('Raw Data'!$C$2:$C$251,A27)</f>
        <v>6</v>
      </c>
      <c r="E27" s="59">
        <f t="shared" si="0"/>
        <v>1378.2983333333334</v>
      </c>
      <c r="F27" s="58">
        <f>RANK(C27,$C$4:$C$53,0)+COUNTIF($C$4:C27,C27)-1</f>
        <v>6</v>
      </c>
      <c r="G27" s="58" t="str">
        <f t="shared" si="1"/>
        <v>High-Value</v>
      </c>
      <c r="H27" s="58">
        <f>COUNTIFS('Raw Data'!$C$2:$C$251,A27,'Raw Data'!$F$2:$F$251,"Laptop")</f>
        <v>1</v>
      </c>
      <c r="I27" s="58">
        <f>IF(H27&gt;0,MAX(I$3:I26)+1,"")</f>
        <v>9</v>
      </c>
      <c r="J27" s="58" t="str">
        <f t="shared" si="2"/>
        <v>Repeat</v>
      </c>
      <c r="Q27" s="58">
        <v>24</v>
      </c>
      <c r="R27" s="58"/>
      <c r="S27" s="58" t="str">
        <f t="shared" si="6"/>
        <v/>
      </c>
      <c r="T27" s="58"/>
    </row>
    <row r="28" spans="1:20" x14ac:dyDescent="0.2">
      <c r="A28" s="58" t="s">
        <v>190</v>
      </c>
      <c r="B28" s="58" t="str">
        <f>INDEX('Raw Data'!$D$2:$D$251,MATCH(A28,'Raw Data'!$C$2:$C$251,0))</f>
        <v>Mark Carter</v>
      </c>
      <c r="C28" s="59">
        <f>SUMIFS('Raw Data'!$N$2:$N$251,'Raw Data'!$C$2:$C$251,A28)</f>
        <v>15659.65</v>
      </c>
      <c r="D28" s="58">
        <f>COUNTIFS('Raw Data'!$C$2:$C$251,A28)</f>
        <v>12</v>
      </c>
      <c r="E28" s="59">
        <f t="shared" si="0"/>
        <v>1304.9708333333333</v>
      </c>
      <c r="F28" s="58">
        <f>RANK(C28,$C$4:$C$53,0)+COUNTIF($C$4:C28,C28)-1</f>
        <v>1</v>
      </c>
      <c r="G28" s="58" t="str">
        <f t="shared" si="1"/>
        <v>High-Value</v>
      </c>
      <c r="H28" s="58">
        <f>COUNTIFS('Raw Data'!$C$2:$C$251,A28,'Raw Data'!$F$2:$F$251,"Laptop")</f>
        <v>2</v>
      </c>
      <c r="I28" s="58">
        <f>IF(H28&gt;0,MAX(I$3:I27)+1,"")</f>
        <v>10</v>
      </c>
      <c r="J28" s="58" t="str">
        <f t="shared" si="2"/>
        <v>Repeat</v>
      </c>
      <c r="Q28" s="58">
        <v>25</v>
      </c>
      <c r="R28" s="58"/>
      <c r="S28" s="58" t="str">
        <f t="shared" si="6"/>
        <v/>
      </c>
      <c r="T28" s="58"/>
    </row>
    <row r="29" spans="1:20" x14ac:dyDescent="0.2">
      <c r="A29" s="58" t="s">
        <v>170</v>
      </c>
      <c r="B29" s="58" t="str">
        <f>INDEX('Raw Data'!$D$2:$D$251,MATCH(A29,'Raw Data'!$C$2:$C$251,0))</f>
        <v>Karen Hill</v>
      </c>
      <c r="C29" s="59">
        <f>SUMIFS('Raw Data'!$N$2:$N$251,'Raw Data'!$C$2:$C$251,A29)</f>
        <v>8009.7699999999995</v>
      </c>
      <c r="D29" s="58">
        <f>COUNTIFS('Raw Data'!$C$2:$C$251,A29)</f>
        <v>8</v>
      </c>
      <c r="E29" s="59">
        <f t="shared" si="0"/>
        <v>1001.2212499999999</v>
      </c>
      <c r="F29" s="58">
        <f>RANK(C29,$C$4:$C$53,0)+COUNTIF($C$4:C29,C29)-1</f>
        <v>7</v>
      </c>
      <c r="G29" s="58" t="str">
        <f t="shared" si="1"/>
        <v>High-Value</v>
      </c>
      <c r="H29" s="58">
        <f>COUNTIFS('Raw Data'!$C$2:$C$251,A29,'Raw Data'!$F$2:$F$251,"Laptop")</f>
        <v>0</v>
      </c>
      <c r="I29" s="58" t="str">
        <f>IF(H29&gt;0,MAX(I$3:I28)+1,"")</f>
        <v/>
      </c>
      <c r="J29" s="58" t="str">
        <f t="shared" si="2"/>
        <v>Repeat</v>
      </c>
      <c r="Q29" s="58">
        <v>26</v>
      </c>
      <c r="R29" s="58"/>
      <c r="S29" s="58" t="str">
        <f t="shared" si="6"/>
        <v/>
      </c>
      <c r="T29" s="58"/>
    </row>
    <row r="30" spans="1:20" x14ac:dyDescent="0.2">
      <c r="A30" s="58" t="s">
        <v>187</v>
      </c>
      <c r="B30" s="58" t="str">
        <f>INDEX('Raw Data'!$D$2:$D$251,MATCH(A30,'Raw Data'!$C$2:$C$251,0))</f>
        <v>George Adams</v>
      </c>
      <c r="C30" s="59">
        <f>SUMIFS('Raw Data'!$N$2:$N$251,'Raw Data'!$C$2:$C$251,A30)</f>
        <v>3779.93</v>
      </c>
      <c r="D30" s="58">
        <f>COUNTIFS('Raw Data'!$C$2:$C$251,A30)</f>
        <v>3</v>
      </c>
      <c r="E30" s="59">
        <f t="shared" si="0"/>
        <v>1259.9766666666667</v>
      </c>
      <c r="F30" s="58">
        <f>RANK(C30,$C$4:$C$53,0)+COUNTIF($C$4:C30,C30)-1</f>
        <v>28</v>
      </c>
      <c r="G30" s="58" t="str">
        <f t="shared" si="1"/>
        <v>Low</v>
      </c>
      <c r="H30" s="58">
        <f>COUNTIFS('Raw Data'!$C$2:$C$251,A30,'Raw Data'!$F$2:$F$251,"Laptop")</f>
        <v>2</v>
      </c>
      <c r="I30" s="58">
        <f>IF(H30&gt;0,MAX(I$3:I29)+1,"")</f>
        <v>11</v>
      </c>
      <c r="J30" s="58" t="str">
        <f t="shared" si="2"/>
        <v>Repeat</v>
      </c>
      <c r="Q30" s="58">
        <v>27</v>
      </c>
      <c r="R30" s="58"/>
      <c r="S30" s="58" t="str">
        <f t="shared" si="6"/>
        <v/>
      </c>
      <c r="T30" s="58"/>
    </row>
    <row r="31" spans="1:20" x14ac:dyDescent="0.2">
      <c r="A31" s="58" t="s">
        <v>258</v>
      </c>
      <c r="B31" s="58" t="str">
        <f>INDEX('Raw Data'!$D$2:$D$251,MATCH(A31,'Raw Data'!$C$2:$C$251,0))</f>
        <v>Betty Campbell</v>
      </c>
      <c r="C31" s="59">
        <f>SUMIFS('Raw Data'!$N$2:$N$251,'Raw Data'!$C$2:$C$251,A31)</f>
        <v>5649.84</v>
      </c>
      <c r="D31" s="58">
        <f>COUNTIFS('Raw Data'!$C$2:$C$251,A31)</f>
        <v>5</v>
      </c>
      <c r="E31" s="59">
        <f t="shared" si="0"/>
        <v>1129.9680000000001</v>
      </c>
      <c r="F31" s="58">
        <f>RANK(C31,$C$4:$C$53,0)+COUNTIF($C$4:C31,C31)-1</f>
        <v>16</v>
      </c>
      <c r="G31" s="58" t="str">
        <f t="shared" si="1"/>
        <v>Mid</v>
      </c>
      <c r="H31" s="58">
        <f>COUNTIFS('Raw Data'!$C$2:$C$251,A31,'Raw Data'!$F$2:$F$251,"Laptop")</f>
        <v>0</v>
      </c>
      <c r="I31" s="58" t="str">
        <f>IF(H31&gt;0,MAX(I$3:I30)+1,"")</f>
        <v/>
      </c>
      <c r="J31" s="58" t="str">
        <f t="shared" si="2"/>
        <v>Repeat</v>
      </c>
      <c r="Q31" s="58">
        <v>28</v>
      </c>
      <c r="R31" s="58"/>
      <c r="S31" s="58" t="str">
        <f t="shared" si="6"/>
        <v/>
      </c>
      <c r="T31" s="58"/>
    </row>
    <row r="32" spans="1:20" x14ac:dyDescent="0.2">
      <c r="A32" s="58" t="s">
        <v>224</v>
      </c>
      <c r="B32" s="58" t="str">
        <f>INDEX('Raw Data'!$D$2:$D$251,MATCH(A32,'Raw Data'!$C$2:$C$251,0))</f>
        <v>Edward Mitchell</v>
      </c>
      <c r="C32" s="59">
        <f>SUMIFS('Raw Data'!$N$2:$N$251,'Raw Data'!$C$2:$C$251,A32)</f>
        <v>11919.769999999999</v>
      </c>
      <c r="D32" s="58">
        <f>COUNTIFS('Raw Data'!$C$2:$C$251,A32)</f>
        <v>6</v>
      </c>
      <c r="E32" s="59">
        <f t="shared" si="0"/>
        <v>1986.6283333333331</v>
      </c>
      <c r="F32" s="58">
        <f>RANK(C32,$C$4:$C$53,0)+COUNTIF($C$4:C32,C32)-1</f>
        <v>2</v>
      </c>
      <c r="G32" s="58" t="str">
        <f t="shared" si="1"/>
        <v>High-Value</v>
      </c>
      <c r="H32" s="58">
        <f>COUNTIFS('Raw Data'!$C$2:$C$251,A32,'Raw Data'!$F$2:$F$251,"Laptop")</f>
        <v>2</v>
      </c>
      <c r="I32" s="58">
        <f>IF(H32&gt;0,MAX(I$3:I31)+1,"")</f>
        <v>12</v>
      </c>
      <c r="J32" s="58" t="str">
        <f t="shared" si="2"/>
        <v>Repeat</v>
      </c>
      <c r="Q32" s="58">
        <v>29</v>
      </c>
      <c r="R32" s="58"/>
      <c r="S32" s="58" t="str">
        <f t="shared" si="6"/>
        <v/>
      </c>
      <c r="T32" s="58"/>
    </row>
    <row r="33" spans="1:20" x14ac:dyDescent="0.2">
      <c r="A33" s="58" t="s">
        <v>221</v>
      </c>
      <c r="B33" s="58" t="str">
        <f>INDEX('Raw Data'!$D$2:$D$251,MATCH(A33,'Raw Data'!$C$2:$C$251,0))</f>
        <v>Helen Roberts</v>
      </c>
      <c r="C33" s="59">
        <f>SUMIFS('Raw Data'!$N$2:$N$251,'Raw Data'!$C$2:$C$251,A33)</f>
        <v>6459.79</v>
      </c>
      <c r="D33" s="58">
        <f>COUNTIFS('Raw Data'!$C$2:$C$251,A33)</f>
        <v>7</v>
      </c>
      <c r="E33" s="59">
        <f t="shared" si="0"/>
        <v>922.8271428571428</v>
      </c>
      <c r="F33" s="58">
        <f>RANK(C33,$C$4:$C$53,0)+COUNTIF($C$4:C33,C33)-1</f>
        <v>11</v>
      </c>
      <c r="G33" s="58" t="str">
        <f t="shared" si="1"/>
        <v>Mid</v>
      </c>
      <c r="H33" s="58">
        <f>COUNTIFS('Raw Data'!$C$2:$C$251,A33,'Raw Data'!$F$2:$F$251,"Laptop")</f>
        <v>1</v>
      </c>
      <c r="I33" s="58">
        <f>IF(H33&gt;0,MAX(I$3:I32)+1,"")</f>
        <v>13</v>
      </c>
      <c r="J33" s="58" t="str">
        <f t="shared" si="2"/>
        <v>Repeat</v>
      </c>
      <c r="Q33" s="58">
        <v>30</v>
      </c>
      <c r="R33" s="58"/>
      <c r="S33" s="58" t="str">
        <f t="shared" si="6"/>
        <v/>
      </c>
      <c r="T33" s="58"/>
    </row>
    <row r="34" spans="1:20" x14ac:dyDescent="0.2">
      <c r="A34" s="58" t="s">
        <v>238</v>
      </c>
      <c r="B34" s="58" t="str">
        <f>INDEX('Raw Data'!$D$2:$D$251,MATCH(A34,'Raw Data'!$C$2:$C$251,0))</f>
        <v>Steven Turner</v>
      </c>
      <c r="C34" s="59">
        <f>SUMIFS('Raw Data'!$N$2:$N$251,'Raw Data'!$C$2:$C$251,A34)</f>
        <v>2649.83</v>
      </c>
      <c r="D34" s="58">
        <f>COUNTIFS('Raw Data'!$C$2:$C$251,A34)</f>
        <v>6</v>
      </c>
      <c r="E34" s="59">
        <f t="shared" si="0"/>
        <v>441.63833333333332</v>
      </c>
      <c r="F34" s="58">
        <f>RANK(C34,$C$4:$C$53,0)+COUNTIF($C$4:C34,C34)-1</f>
        <v>34</v>
      </c>
      <c r="G34" s="58" t="str">
        <f t="shared" si="1"/>
        <v>Low</v>
      </c>
      <c r="H34" s="58">
        <f>COUNTIFS('Raw Data'!$C$2:$C$251,A34,'Raw Data'!$F$2:$F$251,"Laptop")</f>
        <v>0</v>
      </c>
      <c r="I34" s="58" t="str">
        <f>IF(H34&gt;0,MAX(I$3:I33)+1,"")</f>
        <v/>
      </c>
      <c r="J34" s="58" t="str">
        <f t="shared" si="2"/>
        <v>Repeat</v>
      </c>
      <c r="Q34" s="58">
        <v>31</v>
      </c>
      <c r="R34" s="58"/>
      <c r="S34" s="58" t="str">
        <f t="shared" si="6"/>
        <v/>
      </c>
      <c r="T34" s="58"/>
    </row>
    <row r="35" spans="1:20" x14ac:dyDescent="0.2">
      <c r="A35" s="58" t="s">
        <v>334</v>
      </c>
      <c r="B35" s="58" t="str">
        <f>INDEX('Raw Data'!$D$2:$D$251,MATCH(A35,'Raw Data'!$C$2:$C$251,0))</f>
        <v>Sandra Phillips</v>
      </c>
      <c r="C35" s="59">
        <f>SUMIFS('Raw Data'!$N$2:$N$251,'Raw Data'!$C$2:$C$251,A35)</f>
        <v>6349.83</v>
      </c>
      <c r="D35" s="58">
        <f>COUNTIFS('Raw Data'!$C$2:$C$251,A35)</f>
        <v>5</v>
      </c>
      <c r="E35" s="59">
        <f t="shared" si="0"/>
        <v>1269.9659999999999</v>
      </c>
      <c r="F35" s="58">
        <f>RANK(C35,$C$4:$C$53,0)+COUNTIF($C$4:C35,C35)-1</f>
        <v>13</v>
      </c>
      <c r="G35" s="58" t="str">
        <f t="shared" si="1"/>
        <v>Mid</v>
      </c>
      <c r="H35" s="58">
        <f>COUNTIFS('Raw Data'!$C$2:$C$251,A35,'Raw Data'!$F$2:$F$251,"Laptop")</f>
        <v>1</v>
      </c>
      <c r="I35" s="58">
        <f>IF(H35&gt;0,MAX(I$3:I34)+1,"")</f>
        <v>14</v>
      </c>
      <c r="J35" s="58" t="str">
        <f t="shared" si="2"/>
        <v>Repeat</v>
      </c>
      <c r="Q35" s="58">
        <v>32</v>
      </c>
      <c r="R35" s="58"/>
      <c r="S35" s="58" t="str">
        <f t="shared" si="6"/>
        <v/>
      </c>
      <c r="T35" s="58"/>
    </row>
    <row r="36" spans="1:20" x14ac:dyDescent="0.2">
      <c r="A36" s="58" t="s">
        <v>292</v>
      </c>
      <c r="B36" s="58" t="str">
        <f>INDEX('Raw Data'!$D$2:$D$251,MATCH(A36,'Raw Data'!$C$2:$C$251,0))</f>
        <v>Frank Torres</v>
      </c>
      <c r="C36" s="59">
        <f>SUMIFS('Raw Data'!$N$2:$N$251,'Raw Data'!$C$2:$C$251,A36)</f>
        <v>1479.91</v>
      </c>
      <c r="D36" s="58">
        <f>COUNTIFS('Raw Data'!$C$2:$C$251,A36)</f>
        <v>5</v>
      </c>
      <c r="E36" s="59">
        <f t="shared" ref="E36:E67" si="8">IF(D36=0,0,C36/D36)</f>
        <v>295.98200000000003</v>
      </c>
      <c r="F36" s="58">
        <f>RANK(C36,$C$4:$C$53,0)+COUNTIF($C$4:C36,C36)-1</f>
        <v>42</v>
      </c>
      <c r="G36" s="58" t="str">
        <f t="shared" ref="G36:G53" si="9">IF(C36&gt;=PERCENTILE($C$4:$C$53,0.8),"High-Value",IF(C36&gt;=PERCENTILE($C$4:$C$53,0.5),"Mid","Low"))</f>
        <v>Low</v>
      </c>
      <c r="H36" s="58">
        <f>COUNTIFS('Raw Data'!$C$2:$C$251,A36,'Raw Data'!$F$2:$F$251,"Laptop")</f>
        <v>0</v>
      </c>
      <c r="I36" s="58" t="str">
        <f>IF(H36&gt;0,MAX(I$3:I35)+1,"")</f>
        <v/>
      </c>
      <c r="J36" s="58" t="str">
        <f t="shared" ref="J36:J53" si="10">IF(D36&gt;1,"Repeat","One-time")</f>
        <v>Repeat</v>
      </c>
      <c r="Q36" s="58">
        <v>33</v>
      </c>
      <c r="R36" s="58"/>
      <c r="S36" s="58" t="str">
        <f t="shared" ref="S36:S53" si="11">IFERROR(INDEX($B$4:$B$53,MATCH(Q36,$I$4:$I$53,0)),"")</f>
        <v/>
      </c>
      <c r="T36" s="58"/>
    </row>
    <row r="37" spans="1:20" x14ac:dyDescent="0.2">
      <c r="A37" s="58" t="s">
        <v>331</v>
      </c>
      <c r="B37" s="58" t="str">
        <f>INDEX('Raw Data'!$D$2:$D$251,MATCH(A37,'Raw Data'!$C$2:$C$251,0))</f>
        <v>Carol Evans</v>
      </c>
      <c r="C37" s="59">
        <f>SUMIFS('Raw Data'!$N$2:$N$251,'Raw Data'!$C$2:$C$251,A37)</f>
        <v>1149.93</v>
      </c>
      <c r="D37" s="58">
        <f>COUNTIFS('Raw Data'!$C$2:$C$251,A37)</f>
        <v>3</v>
      </c>
      <c r="E37" s="59">
        <f t="shared" si="8"/>
        <v>383.31</v>
      </c>
      <c r="F37" s="58">
        <f>RANK(C37,$C$4:$C$53,0)+COUNTIF($C$4:C37,C37)-1</f>
        <v>45</v>
      </c>
      <c r="G37" s="58" t="str">
        <f t="shared" si="9"/>
        <v>Low</v>
      </c>
      <c r="H37" s="58">
        <f>COUNTIFS('Raw Data'!$C$2:$C$251,A37,'Raw Data'!$F$2:$F$251,"Laptop")</f>
        <v>0</v>
      </c>
      <c r="I37" s="58" t="str">
        <f>IF(H37&gt;0,MAX(I$3:I36)+1,"")</f>
        <v/>
      </c>
      <c r="J37" s="58" t="str">
        <f t="shared" si="10"/>
        <v>Repeat</v>
      </c>
      <c r="Q37" s="58">
        <v>34</v>
      </c>
      <c r="R37" s="58"/>
      <c r="S37" s="58" t="str">
        <f t="shared" si="11"/>
        <v/>
      </c>
      <c r="T37" s="58"/>
    </row>
    <row r="38" spans="1:20" x14ac:dyDescent="0.2">
      <c r="A38" s="58" t="s">
        <v>244</v>
      </c>
      <c r="B38" s="58" t="str">
        <f>INDEX('Raw Data'!$D$2:$D$251,MATCH(A38,'Raw Data'!$C$2:$C$251,0))</f>
        <v>Harry Morgan</v>
      </c>
      <c r="C38" s="59">
        <f>SUMIFS('Raw Data'!$N$2:$N$251,'Raw Data'!$C$2:$C$251,A38)</f>
        <v>5519.8899999999994</v>
      </c>
      <c r="D38" s="58">
        <f>COUNTIFS('Raw Data'!$C$2:$C$251,A38)</f>
        <v>4</v>
      </c>
      <c r="E38" s="59">
        <f t="shared" si="8"/>
        <v>1379.9724999999999</v>
      </c>
      <c r="F38" s="58">
        <f>RANK(C38,$C$4:$C$53,0)+COUNTIF($C$4:C38,C38)-1</f>
        <v>18</v>
      </c>
      <c r="G38" s="58" t="str">
        <f t="shared" si="9"/>
        <v>Mid</v>
      </c>
      <c r="H38" s="58">
        <f>COUNTIFS('Raw Data'!$C$2:$C$251,A38,'Raw Data'!$F$2:$F$251,"Laptop")</f>
        <v>1</v>
      </c>
      <c r="I38" s="58">
        <f>IF(H38&gt;0,MAX(I$3:I37)+1,"")</f>
        <v>15</v>
      </c>
      <c r="J38" s="58" t="str">
        <f t="shared" si="10"/>
        <v>Repeat</v>
      </c>
      <c r="Q38" s="58">
        <v>35</v>
      </c>
      <c r="R38" s="58"/>
      <c r="S38" s="58" t="str">
        <f t="shared" si="11"/>
        <v/>
      </c>
      <c r="T38" s="58"/>
    </row>
    <row r="39" spans="1:20" x14ac:dyDescent="0.2">
      <c r="A39" s="58" t="s">
        <v>211</v>
      </c>
      <c r="B39" s="58" t="str">
        <f>INDEX('Raw Data'!$D$2:$D$251,MATCH(A39,'Raw Data'!$C$2:$C$251,0))</f>
        <v>Nancy Collins</v>
      </c>
      <c r="C39" s="59">
        <f>SUMIFS('Raw Data'!$N$2:$N$251,'Raw Data'!$C$2:$C$251,A39)</f>
        <v>4189.7700000000004</v>
      </c>
      <c r="D39" s="58">
        <f>COUNTIFS('Raw Data'!$C$2:$C$251,A39)</f>
        <v>6</v>
      </c>
      <c r="E39" s="59">
        <f t="shared" si="8"/>
        <v>698.29500000000007</v>
      </c>
      <c r="F39" s="58">
        <f>RANK(C39,$C$4:$C$53,0)+COUNTIF($C$4:C39,C39)-1</f>
        <v>27</v>
      </c>
      <c r="G39" s="58" t="str">
        <f t="shared" si="9"/>
        <v>Low</v>
      </c>
      <c r="H39" s="58">
        <f>COUNTIFS('Raw Data'!$C$2:$C$251,A39,'Raw Data'!$F$2:$F$251,"Laptop")</f>
        <v>0</v>
      </c>
      <c r="I39" s="58" t="str">
        <f>IF(H39&gt;0,MAX(I$3:I38)+1,"")</f>
        <v/>
      </c>
      <c r="J39" s="58" t="str">
        <f t="shared" si="10"/>
        <v>Repeat</v>
      </c>
      <c r="Q39" s="58">
        <v>36</v>
      </c>
      <c r="R39" s="58"/>
      <c r="S39" s="58" t="str">
        <f t="shared" si="11"/>
        <v/>
      </c>
      <c r="T39" s="58"/>
    </row>
    <row r="40" spans="1:20" x14ac:dyDescent="0.2">
      <c r="A40" s="58" t="s">
        <v>425</v>
      </c>
      <c r="B40" s="58" t="str">
        <f>INDEX('Raw Data'!$D$2:$D$251,MATCH(A40,'Raw Data'!$C$2:$C$251,0))</f>
        <v>Arthur Edwards</v>
      </c>
      <c r="C40" s="59">
        <f>SUMIFS('Raw Data'!$N$2:$N$251,'Raw Data'!$C$2:$C$251,A40)</f>
        <v>1559.94</v>
      </c>
      <c r="D40" s="58">
        <f>COUNTIFS('Raw Data'!$C$2:$C$251,A40)</f>
        <v>3</v>
      </c>
      <c r="E40" s="59">
        <f t="shared" si="8"/>
        <v>519.98</v>
      </c>
      <c r="F40" s="58">
        <f>RANK(C40,$C$4:$C$53,0)+COUNTIF($C$4:C40,C40)-1</f>
        <v>41</v>
      </c>
      <c r="G40" s="58" t="str">
        <f t="shared" si="9"/>
        <v>Low</v>
      </c>
      <c r="H40" s="58">
        <f>COUNTIFS('Raw Data'!$C$2:$C$251,A40,'Raw Data'!$F$2:$F$251,"Laptop")</f>
        <v>1</v>
      </c>
      <c r="I40" s="58">
        <f>IF(H40&gt;0,MAX(I$3:I39)+1,"")</f>
        <v>16</v>
      </c>
      <c r="J40" s="58" t="str">
        <f t="shared" si="10"/>
        <v>Repeat</v>
      </c>
      <c r="Q40" s="58">
        <v>37</v>
      </c>
      <c r="R40" s="58"/>
      <c r="S40" s="58" t="str">
        <f t="shared" si="11"/>
        <v/>
      </c>
      <c r="T40" s="58"/>
    </row>
    <row r="41" spans="1:20" x14ac:dyDescent="0.2">
      <c r="A41" s="58" t="s">
        <v>183</v>
      </c>
      <c r="B41" s="58" t="str">
        <f>INDEX('Raw Data'!$D$2:$D$251,MATCH(A41,'Raw Data'!$C$2:$C$251,0))</f>
        <v>Michelle Rogers</v>
      </c>
      <c r="C41" s="59">
        <f>SUMIFS('Raw Data'!$N$2:$N$251,'Raw Data'!$C$2:$C$251,A41)</f>
        <v>4199.9399999999996</v>
      </c>
      <c r="D41" s="58">
        <f>COUNTIFS('Raw Data'!$C$2:$C$251,A41)</f>
        <v>2</v>
      </c>
      <c r="E41" s="59">
        <f t="shared" si="8"/>
        <v>2099.9699999999998</v>
      </c>
      <c r="F41" s="58">
        <f>RANK(C41,$C$4:$C$53,0)+COUNTIF($C$4:C41,C41)-1</f>
        <v>26</v>
      </c>
      <c r="G41" s="58" t="str">
        <f t="shared" si="9"/>
        <v>Low</v>
      </c>
      <c r="H41" s="58">
        <f>COUNTIFS('Raw Data'!$C$2:$C$251,A41,'Raw Data'!$F$2:$F$251,"Laptop")</f>
        <v>0</v>
      </c>
      <c r="I41" s="58" t="str">
        <f>IF(H41&gt;0,MAX(I$3:I40)+1,"")</f>
        <v/>
      </c>
      <c r="J41" s="58" t="str">
        <f t="shared" si="10"/>
        <v>Repeat</v>
      </c>
      <c r="Q41" s="58">
        <v>38</v>
      </c>
      <c r="R41" s="58"/>
      <c r="S41" s="58" t="str">
        <f t="shared" si="11"/>
        <v/>
      </c>
      <c r="T41" s="58"/>
    </row>
    <row r="42" spans="1:20" x14ac:dyDescent="0.2">
      <c r="A42" s="58" t="s">
        <v>326</v>
      </c>
      <c r="B42" s="58" t="str">
        <f>INDEX('Raw Data'!$D$2:$D$251,MATCH(A42,'Raw Data'!$C$2:$C$251,0))</f>
        <v>Lawrence Reed</v>
      </c>
      <c r="C42" s="59">
        <f>SUMIFS('Raw Data'!$N$2:$N$251,'Raw Data'!$C$2:$C$251,A42)</f>
        <v>6989.7699999999986</v>
      </c>
      <c r="D42" s="58">
        <f>COUNTIFS('Raw Data'!$C$2:$C$251,A42)</f>
        <v>8</v>
      </c>
      <c r="E42" s="59">
        <f t="shared" si="8"/>
        <v>873.72124999999983</v>
      </c>
      <c r="F42" s="58">
        <f>RANK(C42,$C$4:$C$53,0)+COUNTIF($C$4:C42,C42)-1</f>
        <v>9</v>
      </c>
      <c r="G42" s="58" t="str">
        <f t="shared" si="9"/>
        <v>High-Value</v>
      </c>
      <c r="H42" s="58">
        <f>COUNTIFS('Raw Data'!$C$2:$C$251,A42,'Raw Data'!$F$2:$F$251,"Laptop")</f>
        <v>0</v>
      </c>
      <c r="I42" s="58" t="str">
        <f>IF(H42&gt;0,MAX(I$3:I41)+1,"")</f>
        <v/>
      </c>
      <c r="J42" s="58" t="str">
        <f t="shared" si="10"/>
        <v>Repeat</v>
      </c>
      <c r="Q42" s="58">
        <v>39</v>
      </c>
      <c r="R42" s="58"/>
      <c r="S42" s="58" t="str">
        <f t="shared" si="11"/>
        <v/>
      </c>
      <c r="T42" s="58"/>
    </row>
    <row r="43" spans="1:20" x14ac:dyDescent="0.2">
      <c r="A43" s="58" t="s">
        <v>250</v>
      </c>
      <c r="B43" s="58" t="str">
        <f>INDEX('Raw Data'!$D$2:$D$251,MATCH(A43,'Raw Data'!$C$2:$C$251,0))</f>
        <v>Sharon Butler</v>
      </c>
      <c r="C43" s="59">
        <f>SUMIFS('Raw Data'!$N$2:$N$251,'Raw Data'!$C$2:$C$251,A43)</f>
        <v>5619.869999999999</v>
      </c>
      <c r="D43" s="58">
        <f>COUNTIFS('Raw Data'!$C$2:$C$251,A43)</f>
        <v>6</v>
      </c>
      <c r="E43" s="59">
        <f t="shared" si="8"/>
        <v>936.64499999999987</v>
      </c>
      <c r="F43" s="58">
        <f>RANK(C43,$C$4:$C$53,0)+COUNTIF($C$4:C43,C43)-1</f>
        <v>17</v>
      </c>
      <c r="G43" s="58" t="str">
        <f t="shared" si="9"/>
        <v>Mid</v>
      </c>
      <c r="H43" s="58">
        <f>COUNTIFS('Raw Data'!$C$2:$C$251,A43,'Raw Data'!$F$2:$F$251,"Laptop")</f>
        <v>3</v>
      </c>
      <c r="I43" s="58">
        <f>IF(H43&gt;0,MAX(I$3:I42)+1,"")</f>
        <v>17</v>
      </c>
      <c r="J43" s="58" t="str">
        <f t="shared" si="10"/>
        <v>Repeat</v>
      </c>
      <c r="Q43" s="58">
        <v>40</v>
      </c>
      <c r="R43" s="58"/>
      <c r="S43" s="58" t="str">
        <f t="shared" si="11"/>
        <v/>
      </c>
      <c r="T43" s="58"/>
    </row>
    <row r="44" spans="1:20" x14ac:dyDescent="0.2">
      <c r="A44" s="58" t="s">
        <v>177</v>
      </c>
      <c r="B44" s="58" t="str">
        <f>INDEX('Raw Data'!$D$2:$D$251,MATCH(A44,'Raw Data'!$C$2:$C$251,0))</f>
        <v>Peter Richardson</v>
      </c>
      <c r="C44" s="59">
        <f>SUMIFS('Raw Data'!$N$2:$N$251,'Raw Data'!$C$2:$C$251,A44)</f>
        <v>5949.85</v>
      </c>
      <c r="D44" s="58">
        <f>COUNTIFS('Raw Data'!$C$2:$C$251,A44)</f>
        <v>5</v>
      </c>
      <c r="E44" s="59">
        <f t="shared" si="8"/>
        <v>1189.97</v>
      </c>
      <c r="F44" s="58">
        <f>RANK(C44,$C$4:$C$53,0)+COUNTIF($C$4:C44,C44)-1</f>
        <v>15</v>
      </c>
      <c r="G44" s="58" t="str">
        <f t="shared" si="9"/>
        <v>Mid</v>
      </c>
      <c r="H44" s="58">
        <f>COUNTIFS('Raw Data'!$C$2:$C$251,A44,'Raw Data'!$F$2:$F$251,"Laptop")</f>
        <v>1</v>
      </c>
      <c r="I44" s="58">
        <f>IF(H44&gt;0,MAX(I$3:I43)+1,"")</f>
        <v>18</v>
      </c>
      <c r="J44" s="58" t="str">
        <f t="shared" si="10"/>
        <v>Repeat</v>
      </c>
      <c r="Q44" s="58">
        <v>41</v>
      </c>
      <c r="R44" s="58"/>
      <c r="S44" s="58" t="str">
        <f t="shared" si="11"/>
        <v/>
      </c>
      <c r="T44" s="58"/>
    </row>
    <row r="45" spans="1:20" x14ac:dyDescent="0.2">
      <c r="A45" s="58" t="s">
        <v>346</v>
      </c>
      <c r="B45" s="58" t="str">
        <f>INDEX('Raw Data'!$D$2:$D$251,MATCH(A45,'Raw Data'!$C$2:$C$251,0))</f>
        <v>Ruth Brooks</v>
      </c>
      <c r="C45" s="59">
        <f>SUMIFS('Raw Data'!$N$2:$N$251,'Raw Data'!$C$2:$C$251,A45)</f>
        <v>1749.92</v>
      </c>
      <c r="D45" s="58">
        <f>COUNTIFS('Raw Data'!$C$2:$C$251,A45)</f>
        <v>3</v>
      </c>
      <c r="E45" s="59">
        <f t="shared" si="8"/>
        <v>583.30666666666673</v>
      </c>
      <c r="F45" s="58">
        <f>RANK(C45,$C$4:$C$53,0)+COUNTIF($C$4:C45,C45)-1</f>
        <v>40</v>
      </c>
      <c r="G45" s="58" t="str">
        <f t="shared" si="9"/>
        <v>Low</v>
      </c>
      <c r="H45" s="58">
        <f>COUNTIFS('Raw Data'!$C$2:$C$251,A45,'Raw Data'!$F$2:$F$251,"Laptop")</f>
        <v>0</v>
      </c>
      <c r="I45" s="58" t="str">
        <f>IF(H45&gt;0,MAX(I$3:I44)+1,"")</f>
        <v/>
      </c>
      <c r="J45" s="58" t="str">
        <f t="shared" si="10"/>
        <v>Repeat</v>
      </c>
      <c r="Q45" s="58">
        <v>42</v>
      </c>
      <c r="R45" s="58"/>
      <c r="S45" s="58" t="str">
        <f t="shared" si="11"/>
        <v/>
      </c>
      <c r="T45" s="58"/>
    </row>
    <row r="46" spans="1:20" x14ac:dyDescent="0.2">
      <c r="A46" s="58" t="s">
        <v>180</v>
      </c>
      <c r="B46" s="58" t="str">
        <f>INDEX('Raw Data'!$D$2:$D$251,MATCH(A46,'Raw Data'!$C$2:$C$251,0))</f>
        <v>Dennis Gray</v>
      </c>
      <c r="C46" s="59">
        <f>SUMIFS('Raw Data'!$N$2:$N$251,'Raw Data'!$C$2:$C$251,A46)</f>
        <v>479.91999999999996</v>
      </c>
      <c r="D46" s="58">
        <f>COUNTIFS('Raw Data'!$C$2:$C$251,A46)</f>
        <v>2</v>
      </c>
      <c r="E46" s="59">
        <f t="shared" si="8"/>
        <v>239.95999999999998</v>
      </c>
      <c r="F46" s="58">
        <f>RANK(C46,$C$4:$C$53,0)+COUNTIF($C$4:C46,C46)-1</f>
        <v>48</v>
      </c>
      <c r="G46" s="58" t="str">
        <f t="shared" si="9"/>
        <v>Low</v>
      </c>
      <c r="H46" s="58">
        <f>COUNTIFS('Raw Data'!$C$2:$C$251,A46,'Raw Data'!$F$2:$F$251,"Laptop")</f>
        <v>0</v>
      </c>
      <c r="I46" s="58" t="str">
        <f>IF(H46&gt;0,MAX(I$3:I45)+1,"")</f>
        <v/>
      </c>
      <c r="J46" s="58" t="str">
        <f t="shared" si="10"/>
        <v>Repeat</v>
      </c>
      <c r="Q46" s="58">
        <v>43</v>
      </c>
      <c r="R46" s="58"/>
      <c r="S46" s="58" t="str">
        <f t="shared" si="11"/>
        <v/>
      </c>
      <c r="T46" s="58"/>
    </row>
    <row r="47" spans="1:20" x14ac:dyDescent="0.2">
      <c r="A47" s="58" t="s">
        <v>206</v>
      </c>
      <c r="B47" s="58" t="str">
        <f>INDEX('Raw Data'!$D$2:$D$251,MATCH(A47,'Raw Data'!$C$2:$C$251,0))</f>
        <v>Cynthia Price</v>
      </c>
      <c r="C47" s="59">
        <f>SUMIFS('Raw Data'!$N$2:$N$251,'Raw Data'!$C$2:$C$251,A47)</f>
        <v>3769.8300000000004</v>
      </c>
      <c r="D47" s="58">
        <f>COUNTIFS('Raw Data'!$C$2:$C$251,A47)</f>
        <v>5</v>
      </c>
      <c r="E47" s="59">
        <f t="shared" si="8"/>
        <v>753.96600000000012</v>
      </c>
      <c r="F47" s="58">
        <f>RANK(C47,$C$4:$C$53,0)+COUNTIF($C$4:C47,C47)-1</f>
        <v>29</v>
      </c>
      <c r="G47" s="58" t="str">
        <f t="shared" si="9"/>
        <v>Low</v>
      </c>
      <c r="H47" s="58">
        <f>COUNTIFS('Raw Data'!$C$2:$C$251,A47,'Raw Data'!$F$2:$F$251,"Laptop")</f>
        <v>0</v>
      </c>
      <c r="I47" s="58" t="str">
        <f>IF(H47&gt;0,MAX(I$3:I46)+1,"")</f>
        <v/>
      </c>
      <c r="J47" s="58" t="str">
        <f t="shared" si="10"/>
        <v>Repeat</v>
      </c>
      <c r="Q47" s="58">
        <v>44</v>
      </c>
      <c r="R47" s="58"/>
      <c r="S47" s="58" t="str">
        <f t="shared" si="11"/>
        <v/>
      </c>
      <c r="T47" s="58"/>
    </row>
    <row r="48" spans="1:20" x14ac:dyDescent="0.2">
      <c r="A48" s="58" t="s">
        <v>393</v>
      </c>
      <c r="B48" s="58" t="str">
        <f>INDEX('Raw Data'!$D$2:$D$251,MATCH(A48,'Raw Data'!$C$2:$C$251,0))</f>
        <v>Douglas Watson</v>
      </c>
      <c r="C48" s="59">
        <f>SUMIFS('Raw Data'!$N$2:$N$251,'Raw Data'!$C$2:$C$251,A48)</f>
        <v>4829.8899999999994</v>
      </c>
      <c r="D48" s="58">
        <f>COUNTIFS('Raw Data'!$C$2:$C$251,A48)</f>
        <v>4</v>
      </c>
      <c r="E48" s="59">
        <f t="shared" si="8"/>
        <v>1207.4724999999999</v>
      </c>
      <c r="F48" s="58">
        <f>RANK(C48,$C$4:$C$53,0)+COUNTIF($C$4:C48,C48)-1</f>
        <v>21</v>
      </c>
      <c r="G48" s="58" t="str">
        <f t="shared" si="9"/>
        <v>Mid</v>
      </c>
      <c r="H48" s="58">
        <f>COUNTIFS('Raw Data'!$C$2:$C$251,A48,'Raw Data'!$F$2:$F$251,"Laptop")</f>
        <v>0</v>
      </c>
      <c r="I48" s="58" t="str">
        <f>IF(H48&gt;0,MAX(I$3:I47)+1,"")</f>
        <v/>
      </c>
      <c r="J48" s="58" t="str">
        <f t="shared" si="10"/>
        <v>Repeat</v>
      </c>
      <c r="Q48" s="58">
        <v>45</v>
      </c>
      <c r="R48" s="58"/>
      <c r="S48" s="58" t="str">
        <f t="shared" si="11"/>
        <v/>
      </c>
      <c r="T48" s="58"/>
    </row>
    <row r="49" spans="1:20" x14ac:dyDescent="0.2">
      <c r="A49" s="58" t="s">
        <v>151</v>
      </c>
      <c r="B49" s="58" t="str">
        <f>INDEX('Raw Data'!$D$2:$D$251,MATCH(A49,'Raw Data'!$C$2:$C$251,0))</f>
        <v>Kathleen Bennett</v>
      </c>
      <c r="C49" s="59">
        <f>SUMIFS('Raw Data'!$N$2:$N$251,'Raw Data'!$C$2:$C$251,A49)</f>
        <v>4309.8099999999995</v>
      </c>
      <c r="D49" s="58">
        <f>COUNTIFS('Raw Data'!$C$2:$C$251,A49)</f>
        <v>6</v>
      </c>
      <c r="E49" s="59">
        <f t="shared" si="8"/>
        <v>718.30166666666662</v>
      </c>
      <c r="F49" s="58">
        <f>RANK(C49,$C$4:$C$53,0)+COUNTIF($C$4:C49,C49)-1</f>
        <v>25</v>
      </c>
      <c r="G49" s="58" t="str">
        <f t="shared" si="9"/>
        <v>Mid</v>
      </c>
      <c r="H49" s="58">
        <f>COUNTIFS('Raw Data'!$C$2:$C$251,A49,'Raw Data'!$F$2:$F$251,"Laptop")</f>
        <v>0</v>
      </c>
      <c r="I49" s="58" t="str">
        <f>IF(H49&gt;0,MAX(I$3:I48)+1,"")</f>
        <v/>
      </c>
      <c r="J49" s="58" t="str">
        <f t="shared" si="10"/>
        <v>Repeat</v>
      </c>
      <c r="Q49" s="58">
        <v>46</v>
      </c>
      <c r="R49" s="58"/>
      <c r="S49" s="58" t="str">
        <f t="shared" si="11"/>
        <v/>
      </c>
      <c r="T49" s="58"/>
    </row>
    <row r="50" spans="1:20" x14ac:dyDescent="0.2">
      <c r="A50" s="58" t="s">
        <v>296</v>
      </c>
      <c r="B50" s="58" t="str">
        <f>INDEX('Raw Data'!$D$2:$D$251,MATCH(A50,'Raw Data'!$C$2:$C$251,0))</f>
        <v>Gerald Murphy</v>
      </c>
      <c r="C50" s="59">
        <f>SUMIFS('Raw Data'!$N$2:$N$251,'Raw Data'!$C$2:$C$251,A50)</f>
        <v>6379.87</v>
      </c>
      <c r="D50" s="58">
        <f>COUNTIFS('Raw Data'!$C$2:$C$251,A50)</f>
        <v>4</v>
      </c>
      <c r="E50" s="59">
        <f t="shared" si="8"/>
        <v>1594.9675</v>
      </c>
      <c r="F50" s="58">
        <f>RANK(C50,$C$4:$C$53,0)+COUNTIF($C$4:C50,C50)-1</f>
        <v>12</v>
      </c>
      <c r="G50" s="58" t="str">
        <f t="shared" si="9"/>
        <v>Mid</v>
      </c>
      <c r="H50" s="58">
        <f>COUNTIFS('Raw Data'!$C$2:$C$251,A50,'Raw Data'!$F$2:$F$251,"Laptop")</f>
        <v>1</v>
      </c>
      <c r="I50" s="58">
        <f>IF(H50&gt;0,MAX(I$3:I49)+1,"")</f>
        <v>19</v>
      </c>
      <c r="J50" s="58" t="str">
        <f t="shared" si="10"/>
        <v>Repeat</v>
      </c>
      <c r="Q50" s="58">
        <v>47</v>
      </c>
      <c r="R50" s="58"/>
      <c r="S50" s="58" t="str">
        <f t="shared" si="11"/>
        <v/>
      </c>
      <c r="T50" s="58"/>
    </row>
    <row r="51" spans="1:20" x14ac:dyDescent="0.2">
      <c r="A51" s="58" t="s">
        <v>197</v>
      </c>
      <c r="B51" s="58" t="str">
        <f>INDEX('Raw Data'!$D$2:$D$251,MATCH(A51,'Raw Data'!$C$2:$C$251,0))</f>
        <v>Virginia Sanders</v>
      </c>
      <c r="C51" s="59">
        <f>SUMIFS('Raw Data'!$N$2:$N$251,'Raw Data'!$C$2:$C$251,A51)</f>
        <v>4789.7900000000009</v>
      </c>
      <c r="D51" s="58">
        <f>COUNTIFS('Raw Data'!$C$2:$C$251,A51)</f>
        <v>6</v>
      </c>
      <c r="E51" s="59">
        <f t="shared" si="8"/>
        <v>798.29833333333352</v>
      </c>
      <c r="F51" s="58">
        <f>RANK(C51,$C$4:$C$53,0)+COUNTIF($C$4:C51,C51)-1</f>
        <v>22</v>
      </c>
      <c r="G51" s="58" t="str">
        <f t="shared" si="9"/>
        <v>Mid</v>
      </c>
      <c r="H51" s="58">
        <f>COUNTIFS('Raw Data'!$C$2:$C$251,A51,'Raw Data'!$F$2:$F$251,"Laptop")</f>
        <v>0</v>
      </c>
      <c r="I51" s="58" t="str">
        <f>IF(H51&gt;0,MAX(I$3:I50)+1,"")</f>
        <v/>
      </c>
      <c r="J51" s="58" t="str">
        <f t="shared" si="10"/>
        <v>Repeat</v>
      </c>
      <c r="Q51" s="58">
        <v>48</v>
      </c>
      <c r="R51" s="58"/>
      <c r="S51" s="58" t="str">
        <f t="shared" si="11"/>
        <v/>
      </c>
      <c r="T51" s="58"/>
    </row>
    <row r="52" spans="1:20" x14ac:dyDescent="0.2">
      <c r="A52" s="58" t="s">
        <v>271</v>
      </c>
      <c r="B52" s="58" t="str">
        <f>INDEX('Raw Data'!$D$2:$D$251,MATCH(A52,'Raw Data'!$C$2:$C$251,0))</f>
        <v>Raymond Ross</v>
      </c>
      <c r="C52" s="59">
        <f>SUMIFS('Raw Data'!$N$2:$N$251,'Raw Data'!$C$2:$C$251,A52)</f>
        <v>3669.8500000000004</v>
      </c>
      <c r="D52" s="58">
        <f>COUNTIFS('Raw Data'!$C$2:$C$251,A52)</f>
        <v>4</v>
      </c>
      <c r="E52" s="59">
        <f t="shared" si="8"/>
        <v>917.46250000000009</v>
      </c>
      <c r="F52" s="58">
        <f>RANK(C52,$C$4:$C$53,0)+COUNTIF($C$4:C52,C52)-1</f>
        <v>30</v>
      </c>
      <c r="G52" s="58" t="str">
        <f t="shared" si="9"/>
        <v>Low</v>
      </c>
      <c r="H52" s="58">
        <f>COUNTIFS('Raw Data'!$C$2:$C$251,A52,'Raw Data'!$F$2:$F$251,"Laptop")</f>
        <v>0</v>
      </c>
      <c r="I52" s="58" t="str">
        <f>IF(H52&gt;0,MAX(I$3:I51)+1,"")</f>
        <v/>
      </c>
      <c r="J52" s="58" t="str">
        <f t="shared" si="10"/>
        <v>Repeat</v>
      </c>
      <c r="Q52" s="58">
        <v>49</v>
      </c>
      <c r="R52" s="58"/>
      <c r="S52" s="58" t="str">
        <f t="shared" si="11"/>
        <v/>
      </c>
      <c r="T52" s="58"/>
    </row>
    <row r="53" spans="1:20" x14ac:dyDescent="0.2">
      <c r="A53" s="58" t="s">
        <v>262</v>
      </c>
      <c r="B53" s="58" t="str">
        <f>INDEX('Raw Data'!$D$2:$D$251,MATCH(A53,'Raw Data'!$C$2:$C$251,0))</f>
        <v>Julie Foster</v>
      </c>
      <c r="C53" s="59">
        <f>SUMIFS('Raw Data'!$N$2:$N$251,'Raw Data'!$C$2:$C$251,A53)</f>
        <v>239.96</v>
      </c>
      <c r="D53" s="58">
        <f>COUNTIFS('Raw Data'!$C$2:$C$251,A53)</f>
        <v>1</v>
      </c>
      <c r="E53" s="59">
        <f t="shared" si="8"/>
        <v>239.96</v>
      </c>
      <c r="F53" s="58">
        <f>RANK(C53,$C$4:$C$53,0)+COUNTIF($C$4:C53,C53)-1</f>
        <v>49</v>
      </c>
      <c r="G53" s="58" t="str">
        <f t="shared" si="9"/>
        <v>Low</v>
      </c>
      <c r="H53" s="58">
        <f>COUNTIFS('Raw Data'!$C$2:$C$251,A53,'Raw Data'!$F$2:$F$251,"Laptop")</f>
        <v>0</v>
      </c>
      <c r="I53" s="58" t="str">
        <f>IF(H53&gt;0,MAX(I$3:I52)+1,"")</f>
        <v/>
      </c>
      <c r="J53" s="58" t="str">
        <f t="shared" si="10"/>
        <v>One-time</v>
      </c>
      <c r="Q53" s="58">
        <v>50</v>
      </c>
      <c r="R53" s="58"/>
      <c r="S53" s="58" t="str">
        <f t="shared" si="11"/>
        <v/>
      </c>
      <c r="T53" s="58"/>
    </row>
    <row r="55" spans="1:20" x14ac:dyDescent="0.2">
      <c r="Q55" s="19" t="s">
        <v>592</v>
      </c>
      <c r="S55" s="19">
        <f>COUNTIF(T4:T18,"?*")</f>
        <v>12</v>
      </c>
    </row>
  </sheetData>
  <conditionalFormatting sqref="C4:C53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{9EF180D9-BE8B-43B5-8E50-7142EFBCC047}</x14:id>
        </ext>
      </extLst>
    </cfRule>
  </conditionalFormatting>
  <conditionalFormatting sqref="G4:G53">
    <cfRule type="cellIs" dxfId="0" priority="2" operator="equal">
      <formula>"High-Value"</formula>
    </cfRule>
  </conditionalFormatting>
  <conditionalFormatting sqref="N4:N13">
    <cfRule type="dataBar" priority="4">
      <dataBar>
        <cfvo type="num" val="0"/>
        <cfvo type="max"/>
        <color rgb="FF70AD47"/>
      </dataBar>
      <extLst>
        <ext xmlns:x14="http://schemas.microsoft.com/office/spreadsheetml/2009/9/main" uri="{B025F937-C7B1-47D3-B67F-A62EFF666E3E}">
          <x14:id>{8CE0E65F-D37A-4D86-8F2A-E34B4A80A92D}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F180D9-BE8B-43B5-8E50-7142EFBCC047}">
            <x14:dataBar axisPosition="none">
              <x14:cfvo type="min"/>
              <x14:cfvo type="max"/>
              <x14:negativeFillColor rgb="FF5B9BD5"/>
            </x14:dataBar>
          </x14:cfRule>
          <xm:sqref>C4:C53</xm:sqref>
        </x14:conditionalFormatting>
        <x14:conditionalFormatting xmlns:xm="http://schemas.microsoft.com/office/excel/2006/main">
          <x14:cfRule type="dataBar" id="{8CE0E65F-D37A-4D86-8F2A-E34B4A80A92D}">
            <x14:dataBar axisPosition="none">
              <x14:cfvo type="num">
                <xm:f>0</xm:f>
              </x14:cfvo>
              <x14:cfvo type="max"/>
              <x14:negativeFillColor rgb="FF70AD47"/>
            </x14:dataBar>
          </x14:cfRule>
          <xm:sqref>N4:N13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</sheetPr>
  <dimension ref="A1:H40"/>
  <sheetViews>
    <sheetView zoomScaleNormal="100" workbookViewId="0">
      <selection activeCell="H2" sqref="A2:H3"/>
    </sheetView>
  </sheetViews>
  <sheetFormatPr baseColWidth="10" defaultColWidth="8.6640625" defaultRowHeight="15" x14ac:dyDescent="0.2"/>
  <cols>
    <col min="1" max="1" width="20" customWidth="1"/>
    <col min="2" max="2" width="15" customWidth="1"/>
    <col min="3" max="3" width="12" customWidth="1"/>
    <col min="4" max="4" width="18" customWidth="1"/>
    <col min="5" max="5" width="14" customWidth="1"/>
    <col min="6" max="6" width="6" customWidth="1"/>
    <col min="7" max="7" width="14" customWidth="1"/>
    <col min="8" max="8" width="10" customWidth="1"/>
  </cols>
  <sheetData>
    <row r="1" spans="1:8" ht="20" x14ac:dyDescent="0.2">
      <c r="A1" s="15" t="s">
        <v>593</v>
      </c>
    </row>
    <row r="2" spans="1:8" x14ac:dyDescent="0.2">
      <c r="A2" s="16"/>
    </row>
    <row r="4" spans="1:8" x14ac:dyDescent="0.2">
      <c r="A4" s="19" t="s">
        <v>55</v>
      </c>
      <c r="B4" s="72" t="s">
        <v>81</v>
      </c>
    </row>
    <row r="5" spans="1:8" x14ac:dyDescent="0.2">
      <c r="A5" s="19" t="s">
        <v>594</v>
      </c>
      <c r="B5" s="73">
        <v>1000</v>
      </c>
    </row>
    <row r="6" spans="1:8" x14ac:dyDescent="0.2">
      <c r="A6" s="19" t="s">
        <v>595</v>
      </c>
      <c r="B6" s="19">
        <f>COUNT('Raw Data'!$Y$2:$Y$251)</f>
        <v>12</v>
      </c>
    </row>
    <row r="8" spans="1:8" x14ac:dyDescent="0.2">
      <c r="A8" s="19" t="s">
        <v>596</v>
      </c>
    </row>
    <row r="9" spans="1:8" x14ac:dyDescent="0.2">
      <c r="A9" s="74" t="s">
        <v>597</v>
      </c>
    </row>
    <row r="10" spans="1:8" x14ac:dyDescent="0.2">
      <c r="A10" s="17" t="s">
        <v>588</v>
      </c>
      <c r="B10" s="17" t="s">
        <v>115</v>
      </c>
      <c r="C10" s="17" t="s">
        <v>116</v>
      </c>
      <c r="D10" s="17" t="s">
        <v>35</v>
      </c>
      <c r="E10" s="17" t="s">
        <v>598</v>
      </c>
      <c r="F10" s="17" t="s">
        <v>599</v>
      </c>
      <c r="G10" s="17" t="s">
        <v>124</v>
      </c>
      <c r="H10" s="17" t="s">
        <v>55</v>
      </c>
    </row>
    <row r="11" spans="1:8" x14ac:dyDescent="0.2">
      <c r="A11" s="58">
        <v>1</v>
      </c>
      <c r="B11" s="58" t="str">
        <f>IFERROR(INDEX('Raw Data'!$A$2:$A$251,MATCH($A11,'Raw Data'!$Y$2:$Y$251,0)),"")</f>
        <v>TRX0191</v>
      </c>
      <c r="C11" s="64">
        <f>IFERROR(INDEX('Raw Data'!$B$2:$B$251,MATCH($A11,'Raw Data'!$Y$2:$Y$251,0)),"")</f>
        <v>45409</v>
      </c>
      <c r="D11" s="58" t="str">
        <f>IFERROR(INDEX('Raw Data'!$D$2:$D$251,MATCH($A11,'Raw Data'!$Y$2:$Y$251,0)),"")</f>
        <v>Michelle Rogers</v>
      </c>
      <c r="E11" s="58" t="str">
        <f>IFERROR(INDEX('Raw Data'!$F$2:$F$251,MATCH($A11,'Raw Data'!$Y$2:$Y$251,0)),"")</f>
        <v>Smartphone</v>
      </c>
      <c r="F11" s="58">
        <f>IFERROR(INDEX('Raw Data'!$H$2:$H$251,MATCH($A11,'Raw Data'!$Y$2:$Y$251,0)),"")</f>
        <v>3</v>
      </c>
      <c r="G11" s="75">
        <f>IFERROR(INDEX('Raw Data'!$N$2:$N$251,MATCH($A11,'Raw Data'!$Y$2:$Y$251,0)),"")</f>
        <v>2099.9699999999998</v>
      </c>
      <c r="H11" s="58" t="str">
        <f>IFERROR(INDEX('Raw Data'!$K$2:$K$251,MATCH($A11,'Raw Data'!$Y$2:$Y$251,0)),"")</f>
        <v>West</v>
      </c>
    </row>
    <row r="12" spans="1:8" x14ac:dyDescent="0.2">
      <c r="A12" s="58">
        <v>2</v>
      </c>
      <c r="B12" s="58" t="str">
        <f>IFERROR(INDEX('Raw Data'!$A$2:$A$251,MATCH($A12,'Raw Data'!$Y$2:$Y$251,0)),"")</f>
        <v>TRX0122</v>
      </c>
      <c r="C12" s="64">
        <f>IFERROR(INDEX('Raw Data'!$B$2:$B$251,MATCH($A12,'Raw Data'!$Y$2:$Y$251,0)),"")</f>
        <v>45410</v>
      </c>
      <c r="D12" s="58" t="str">
        <f>IFERROR(INDEX('Raw Data'!$D$2:$D$251,MATCH($A12,'Raw Data'!$Y$2:$Y$251,0)),"")</f>
        <v>Mark Carter</v>
      </c>
      <c r="E12" s="58" t="str">
        <f>IFERROR(INDEX('Raw Data'!$F$2:$F$251,MATCH($A12,'Raw Data'!$Y$2:$Y$251,0)),"")</f>
        <v>Laptop</v>
      </c>
      <c r="F12" s="58">
        <f>IFERROR(INDEX('Raw Data'!$H$2:$H$251,MATCH($A12,'Raw Data'!$Y$2:$Y$251,0)),"")</f>
        <v>4</v>
      </c>
      <c r="G12" s="75">
        <f>IFERROR(INDEX('Raw Data'!$N$2:$N$251,MATCH($A12,'Raw Data'!$Y$2:$Y$251,0)),"")</f>
        <v>3599.96</v>
      </c>
      <c r="H12" s="58" t="str">
        <f>IFERROR(INDEX('Raw Data'!$K$2:$K$251,MATCH($A12,'Raw Data'!$Y$2:$Y$251,0)),"")</f>
        <v>West</v>
      </c>
    </row>
    <row r="13" spans="1:8" x14ac:dyDescent="0.2">
      <c r="A13" s="58">
        <v>3</v>
      </c>
      <c r="B13" s="58" t="str">
        <f>IFERROR(INDEX('Raw Data'!$A$2:$A$251,MATCH($A13,'Raw Data'!$Y$2:$Y$251,0)),"")</f>
        <v>TRX0231</v>
      </c>
      <c r="C13" s="64">
        <f>IFERROR(INDEX('Raw Data'!$B$2:$B$251,MATCH($A13,'Raw Data'!$Y$2:$Y$251,0)),"")</f>
        <v>45412</v>
      </c>
      <c r="D13" s="58" t="str">
        <f>IFERROR(INDEX('Raw Data'!$D$2:$D$251,MATCH($A13,'Raw Data'!$Y$2:$Y$251,0)),"")</f>
        <v>Barbara Young</v>
      </c>
      <c r="E13" s="58" t="str">
        <f>IFERROR(INDEX('Raw Data'!$F$2:$F$251,MATCH($A13,'Raw Data'!$Y$2:$Y$251,0)),"")</f>
        <v>Smartphone</v>
      </c>
      <c r="F13" s="58">
        <f>IFERROR(INDEX('Raw Data'!$H$2:$H$251,MATCH($A13,'Raw Data'!$Y$2:$Y$251,0)),"")</f>
        <v>5</v>
      </c>
      <c r="G13" s="75">
        <f>IFERROR(INDEX('Raw Data'!$N$2:$N$251,MATCH($A13,'Raw Data'!$Y$2:$Y$251,0)),"")</f>
        <v>3499.95</v>
      </c>
      <c r="H13" s="58" t="str">
        <f>IFERROR(INDEX('Raw Data'!$K$2:$K$251,MATCH($A13,'Raw Data'!$Y$2:$Y$251,0)),"")</f>
        <v>West</v>
      </c>
    </row>
    <row r="14" spans="1:8" x14ac:dyDescent="0.2">
      <c r="A14" s="58">
        <v>4</v>
      </c>
      <c r="B14" s="58" t="str">
        <f>IFERROR(INDEX('Raw Data'!$A$2:$A$251,MATCH($A14,'Raw Data'!$Y$2:$Y$251,0)),"")</f>
        <v>TRX0242</v>
      </c>
      <c r="C14" s="64">
        <f>IFERROR(INDEX('Raw Data'!$B$2:$B$251,MATCH($A14,'Raw Data'!$Y$2:$Y$251,0)),"")</f>
        <v>45416</v>
      </c>
      <c r="D14" s="58" t="str">
        <f>IFERROR(INDEX('Raw Data'!$D$2:$D$251,MATCH($A14,'Raw Data'!$Y$2:$Y$251,0)),"")</f>
        <v>Mark Carter</v>
      </c>
      <c r="E14" s="58" t="str">
        <f>IFERROR(INDEX('Raw Data'!$F$2:$F$251,MATCH($A14,'Raw Data'!$Y$2:$Y$251,0)),"")</f>
        <v>Desk</v>
      </c>
      <c r="F14" s="58">
        <f>IFERROR(INDEX('Raw Data'!$H$2:$H$251,MATCH($A14,'Raw Data'!$Y$2:$Y$251,0)),"")</f>
        <v>4</v>
      </c>
      <c r="G14" s="75">
        <f>IFERROR(INDEX('Raw Data'!$N$2:$N$251,MATCH($A14,'Raw Data'!$Y$2:$Y$251,0)),"")</f>
        <v>1199.96</v>
      </c>
      <c r="H14" s="58" t="str">
        <f>IFERROR(INDEX('Raw Data'!$K$2:$K$251,MATCH($A14,'Raw Data'!$Y$2:$Y$251,0)),"")</f>
        <v>West</v>
      </c>
    </row>
    <row r="15" spans="1:8" x14ac:dyDescent="0.2">
      <c r="A15" s="58">
        <v>5</v>
      </c>
      <c r="B15" s="58" t="str">
        <f>IFERROR(INDEX('Raw Data'!$A$2:$A$251,MATCH($A15,'Raw Data'!$Y$2:$Y$251,0)),"")</f>
        <v>TRX0071</v>
      </c>
      <c r="C15" s="64">
        <f>IFERROR(INDEX('Raw Data'!$B$2:$B$251,MATCH($A15,'Raw Data'!$Y$2:$Y$251,0)),"")</f>
        <v>45422</v>
      </c>
      <c r="D15" s="58" t="str">
        <f>IFERROR(INDEX('Raw Data'!$D$2:$D$251,MATCH($A15,'Raw Data'!$Y$2:$Y$251,0)),"")</f>
        <v>Nancy Collins</v>
      </c>
      <c r="E15" s="58" t="str">
        <f>IFERROR(INDEX('Raw Data'!$F$2:$F$251,MATCH($A15,'Raw Data'!$Y$2:$Y$251,0)),"")</f>
        <v>Monitor</v>
      </c>
      <c r="F15" s="58">
        <f>IFERROR(INDEX('Raw Data'!$H$2:$H$251,MATCH($A15,'Raw Data'!$Y$2:$Y$251,0)),"")</f>
        <v>5</v>
      </c>
      <c r="G15" s="75">
        <f>IFERROR(INDEX('Raw Data'!$N$2:$N$251,MATCH($A15,'Raw Data'!$Y$2:$Y$251,0)),"")</f>
        <v>1249.95</v>
      </c>
      <c r="H15" s="58" t="str">
        <f>IFERROR(INDEX('Raw Data'!$K$2:$K$251,MATCH($A15,'Raw Data'!$Y$2:$Y$251,0)),"")</f>
        <v>West</v>
      </c>
    </row>
    <row r="16" spans="1:8" x14ac:dyDescent="0.2">
      <c r="A16" s="58">
        <v>6</v>
      </c>
      <c r="B16" s="58" t="str">
        <f>IFERROR(INDEX('Raw Data'!$A$2:$A$251,MATCH($A16,'Raw Data'!$Y$2:$Y$251,0)),"")</f>
        <v>TRX0015</v>
      </c>
      <c r="C16" s="64">
        <f>IFERROR(INDEX('Raw Data'!$B$2:$B$251,MATCH($A16,'Raw Data'!$Y$2:$Y$251,0)),"")</f>
        <v>45440</v>
      </c>
      <c r="D16" s="58" t="str">
        <f>IFERROR(INDEX('Raw Data'!$D$2:$D$251,MATCH($A16,'Raw Data'!$Y$2:$Y$251,0)),"")</f>
        <v>Jennifer Taylor</v>
      </c>
      <c r="E16" s="58" t="str">
        <f>IFERROR(INDEX('Raw Data'!$F$2:$F$251,MATCH($A16,'Raw Data'!$Y$2:$Y$251,0)),"")</f>
        <v>Smartphone</v>
      </c>
      <c r="F16" s="58">
        <f>IFERROR(INDEX('Raw Data'!$H$2:$H$251,MATCH($A16,'Raw Data'!$Y$2:$Y$251,0)),"")</f>
        <v>5</v>
      </c>
      <c r="G16" s="75">
        <f>IFERROR(INDEX('Raw Data'!$N$2:$N$251,MATCH($A16,'Raw Data'!$Y$2:$Y$251,0)),"")</f>
        <v>3499.95</v>
      </c>
      <c r="H16" s="58" t="str">
        <f>IFERROR(INDEX('Raw Data'!$K$2:$K$251,MATCH($A16,'Raw Data'!$Y$2:$Y$251,0)),"")</f>
        <v>West</v>
      </c>
    </row>
    <row r="17" spans="1:8" x14ac:dyDescent="0.2">
      <c r="A17" s="58">
        <v>7</v>
      </c>
      <c r="B17" s="58" t="str">
        <f>IFERROR(INDEX('Raw Data'!$A$2:$A$251,MATCH($A17,'Raw Data'!$Y$2:$Y$251,0)),"")</f>
        <v>TRX0158</v>
      </c>
      <c r="C17" s="64">
        <f>IFERROR(INDEX('Raw Data'!$B$2:$B$251,MATCH($A17,'Raw Data'!$Y$2:$Y$251,0)),"")</f>
        <v>45579</v>
      </c>
      <c r="D17" s="58" t="str">
        <f>IFERROR(INDEX('Raw Data'!$D$2:$D$251,MATCH($A17,'Raw Data'!$Y$2:$Y$251,0)),"")</f>
        <v>George Adams</v>
      </c>
      <c r="E17" s="58" t="str">
        <f>IFERROR(INDEX('Raw Data'!$F$2:$F$251,MATCH($A17,'Raw Data'!$Y$2:$Y$251,0)),"")</f>
        <v>Laptop</v>
      </c>
      <c r="F17" s="58">
        <f>IFERROR(INDEX('Raw Data'!$H$2:$H$251,MATCH($A17,'Raw Data'!$Y$2:$Y$251,0)),"")</f>
        <v>3</v>
      </c>
      <c r="G17" s="75">
        <f>IFERROR(INDEX('Raw Data'!$N$2:$N$251,MATCH($A17,'Raw Data'!$Y$2:$Y$251,0)),"")</f>
        <v>2699.97</v>
      </c>
      <c r="H17" s="58" t="str">
        <f>IFERROR(INDEX('Raw Data'!$K$2:$K$251,MATCH($A17,'Raw Data'!$Y$2:$Y$251,0)),"")</f>
        <v>West</v>
      </c>
    </row>
    <row r="18" spans="1:8" x14ac:dyDescent="0.2">
      <c r="A18" s="58">
        <v>8</v>
      </c>
      <c r="B18" s="58" t="str">
        <f>IFERROR(INDEX('Raw Data'!$A$2:$A$251,MATCH($A18,'Raw Data'!$Y$2:$Y$251,0)),"")</f>
        <v>TRX0033</v>
      </c>
      <c r="C18" s="64">
        <f>IFERROR(INDEX('Raw Data'!$B$2:$B$251,MATCH($A18,'Raw Data'!$Y$2:$Y$251,0)),"")</f>
        <v>45613</v>
      </c>
      <c r="D18" s="58" t="str">
        <f>IFERROR(INDEX('Raw Data'!$D$2:$D$251,MATCH($A18,'Raw Data'!$Y$2:$Y$251,0)),"")</f>
        <v>Mark Carter</v>
      </c>
      <c r="E18" s="58" t="str">
        <f>IFERROR(INDEX('Raw Data'!$F$2:$F$251,MATCH($A18,'Raw Data'!$Y$2:$Y$251,0)),"")</f>
        <v>Smartphone</v>
      </c>
      <c r="F18" s="58">
        <f>IFERROR(INDEX('Raw Data'!$H$2:$H$251,MATCH($A18,'Raw Data'!$Y$2:$Y$251,0)),"")</f>
        <v>2</v>
      </c>
      <c r="G18" s="75">
        <f>IFERROR(INDEX('Raw Data'!$N$2:$N$251,MATCH($A18,'Raw Data'!$Y$2:$Y$251,0)),"")</f>
        <v>1399.98</v>
      </c>
      <c r="H18" s="58" t="str">
        <f>IFERROR(INDEX('Raw Data'!$K$2:$K$251,MATCH($A18,'Raw Data'!$Y$2:$Y$251,0)),"")</f>
        <v>West</v>
      </c>
    </row>
    <row r="19" spans="1:8" x14ac:dyDescent="0.2">
      <c r="A19" s="58">
        <v>9</v>
      </c>
      <c r="B19" s="58" t="str">
        <f>IFERROR(INDEX('Raw Data'!$A$2:$A$251,MATCH($A19,'Raw Data'!$Y$2:$Y$251,0)),"")</f>
        <v>TRX0148</v>
      </c>
      <c r="C19" s="64">
        <f>IFERROR(INDEX('Raw Data'!$B$2:$B$251,MATCH($A19,'Raw Data'!$Y$2:$Y$251,0)),"")</f>
        <v>45619</v>
      </c>
      <c r="D19" s="58" t="str">
        <f>IFERROR(INDEX('Raw Data'!$D$2:$D$251,MATCH($A19,'Raw Data'!$Y$2:$Y$251,0)),"")</f>
        <v>Sarah Davis</v>
      </c>
      <c r="E19" s="58" t="str">
        <f>IFERROR(INDEX('Raw Data'!$F$2:$F$251,MATCH($A19,'Raw Data'!$Y$2:$Y$251,0)),"")</f>
        <v>Smartphone</v>
      </c>
      <c r="F19" s="58">
        <f>IFERROR(INDEX('Raw Data'!$H$2:$H$251,MATCH($A19,'Raw Data'!$Y$2:$Y$251,0)),"")</f>
        <v>3</v>
      </c>
      <c r="G19" s="75">
        <f>IFERROR(INDEX('Raw Data'!$N$2:$N$251,MATCH($A19,'Raw Data'!$Y$2:$Y$251,0)),"")</f>
        <v>2099.9699999999998</v>
      </c>
      <c r="H19" s="58" t="str">
        <f>IFERROR(INDEX('Raw Data'!$K$2:$K$251,MATCH($A19,'Raw Data'!$Y$2:$Y$251,0)),"")</f>
        <v>West</v>
      </c>
    </row>
    <row r="20" spans="1:8" x14ac:dyDescent="0.2">
      <c r="A20" s="58">
        <v>10</v>
      </c>
      <c r="B20" s="58" t="str">
        <f>IFERROR(INDEX('Raw Data'!$A$2:$A$251,MATCH($A20,'Raw Data'!$Y$2:$Y$251,0)),"")</f>
        <v>TRX0201</v>
      </c>
      <c r="C20" s="64">
        <f>IFERROR(INDEX('Raw Data'!$B$2:$B$251,MATCH($A20,'Raw Data'!$Y$2:$Y$251,0)),"")</f>
        <v>45627</v>
      </c>
      <c r="D20" s="58" t="str">
        <f>IFERROR(INDEX('Raw Data'!$D$2:$D$251,MATCH($A20,'Raw Data'!$Y$2:$Y$251,0)),"")</f>
        <v>Mark Carter</v>
      </c>
      <c r="E20" s="58" t="str">
        <f>IFERROR(INDEX('Raw Data'!$F$2:$F$251,MATCH($A20,'Raw Data'!$Y$2:$Y$251,0)),"")</f>
        <v>Smartphone</v>
      </c>
      <c r="F20" s="58">
        <f>IFERROR(INDEX('Raw Data'!$H$2:$H$251,MATCH($A20,'Raw Data'!$Y$2:$Y$251,0)),"")</f>
        <v>5</v>
      </c>
      <c r="G20" s="75">
        <f>IFERROR(INDEX('Raw Data'!$N$2:$N$251,MATCH($A20,'Raw Data'!$Y$2:$Y$251,0)),"")</f>
        <v>3499.95</v>
      </c>
      <c r="H20" s="58" t="str">
        <f>IFERROR(INDEX('Raw Data'!$K$2:$K$251,MATCH($A20,'Raw Data'!$Y$2:$Y$251,0)),"")</f>
        <v>West</v>
      </c>
    </row>
    <row r="21" spans="1:8" x14ac:dyDescent="0.2">
      <c r="A21" s="58">
        <v>11</v>
      </c>
      <c r="B21" s="58" t="str">
        <f>IFERROR(INDEX('Raw Data'!$A$2:$A$251,MATCH($A21,'Raw Data'!$Y$2:$Y$251,0)),"")</f>
        <v>TRX0010</v>
      </c>
      <c r="C21" s="64">
        <f>IFERROR(INDEX('Raw Data'!$B$2:$B$251,MATCH($A21,'Raw Data'!$Y$2:$Y$251,0)),"")</f>
        <v>45688</v>
      </c>
      <c r="D21" s="58" t="str">
        <f>IFERROR(INDEX('Raw Data'!$D$2:$D$251,MATCH($A21,'Raw Data'!$Y$2:$Y$251,0)),"")</f>
        <v>Karen Hill</v>
      </c>
      <c r="E21" s="58" t="str">
        <f>IFERROR(INDEX('Raw Data'!$F$2:$F$251,MATCH($A21,'Raw Data'!$Y$2:$Y$251,0)),"")</f>
        <v>Smartphone</v>
      </c>
      <c r="F21" s="58">
        <f>IFERROR(INDEX('Raw Data'!$H$2:$H$251,MATCH($A21,'Raw Data'!$Y$2:$Y$251,0)),"")</f>
        <v>4</v>
      </c>
      <c r="G21" s="75">
        <f>IFERROR(INDEX('Raw Data'!$N$2:$N$251,MATCH($A21,'Raw Data'!$Y$2:$Y$251,0)),"")</f>
        <v>2799.96</v>
      </c>
      <c r="H21" s="58" t="str">
        <f>IFERROR(INDEX('Raw Data'!$K$2:$K$251,MATCH($A21,'Raw Data'!$Y$2:$Y$251,0)),"")</f>
        <v>West</v>
      </c>
    </row>
    <row r="22" spans="1:8" x14ac:dyDescent="0.2">
      <c r="A22" s="58">
        <v>12</v>
      </c>
      <c r="B22" s="58" t="str">
        <f>IFERROR(INDEX('Raw Data'!$A$2:$A$251,MATCH($A22,'Raw Data'!$Y$2:$Y$251,0)),"")</f>
        <v>TRX0083</v>
      </c>
      <c r="C22" s="64">
        <f>IFERROR(INDEX('Raw Data'!$B$2:$B$251,MATCH($A22,'Raw Data'!$Y$2:$Y$251,0)),"")</f>
        <v>45710</v>
      </c>
      <c r="D22" s="58" t="str">
        <f>IFERROR(INDEX('Raw Data'!$D$2:$D$251,MATCH($A22,'Raw Data'!$Y$2:$Y$251,0)),"")</f>
        <v>Charles Allen</v>
      </c>
      <c r="E22" s="58" t="str">
        <f>IFERROR(INDEX('Raw Data'!$F$2:$F$251,MATCH($A22,'Raw Data'!$Y$2:$Y$251,0)),"")</f>
        <v>Desk</v>
      </c>
      <c r="F22" s="58">
        <f>IFERROR(INDEX('Raw Data'!$H$2:$H$251,MATCH($A22,'Raw Data'!$Y$2:$Y$251,0)),"")</f>
        <v>5</v>
      </c>
      <c r="G22" s="75">
        <f>IFERROR(INDEX('Raw Data'!$N$2:$N$251,MATCH($A22,'Raw Data'!$Y$2:$Y$251,0)),"")</f>
        <v>1499.95</v>
      </c>
      <c r="H22" s="58" t="str">
        <f>IFERROR(INDEX('Raw Data'!$K$2:$K$251,MATCH($A22,'Raw Data'!$Y$2:$Y$251,0)),"")</f>
        <v>West</v>
      </c>
    </row>
    <row r="23" spans="1:8" x14ac:dyDescent="0.2">
      <c r="A23" s="58">
        <v>13</v>
      </c>
      <c r="B23" s="58" t="str">
        <f>IFERROR(INDEX('Raw Data'!$A$2:$A$251,MATCH($A23,'Raw Data'!$Y$2:$Y$251,0)),"")</f>
        <v/>
      </c>
      <c r="C23" s="64" t="str">
        <f>IFERROR(INDEX('Raw Data'!$B$2:$B$251,MATCH($A23,'Raw Data'!$Y$2:$Y$251,0)),"")</f>
        <v/>
      </c>
      <c r="D23" s="58" t="str">
        <f>IFERROR(INDEX('Raw Data'!$D$2:$D$251,MATCH($A23,'Raw Data'!$Y$2:$Y$251,0)),"")</f>
        <v/>
      </c>
      <c r="E23" s="58" t="str">
        <f>IFERROR(INDEX('Raw Data'!$F$2:$F$251,MATCH($A23,'Raw Data'!$Y$2:$Y$251,0)),"")</f>
        <v/>
      </c>
      <c r="F23" s="58" t="str">
        <f>IFERROR(INDEX('Raw Data'!$H$2:$H$251,MATCH($A23,'Raw Data'!$Y$2:$Y$251,0)),"")</f>
        <v/>
      </c>
      <c r="G23" s="75" t="str">
        <f>IFERROR(INDEX('Raw Data'!$N$2:$N$251,MATCH($A23,'Raw Data'!$Y$2:$Y$251,0)),"")</f>
        <v/>
      </c>
      <c r="H23" s="58" t="str">
        <f>IFERROR(INDEX('Raw Data'!$K$2:$K$251,MATCH($A23,'Raw Data'!$Y$2:$Y$251,0)),"")</f>
        <v/>
      </c>
    </row>
    <row r="24" spans="1:8" x14ac:dyDescent="0.2">
      <c r="A24" s="58">
        <v>14</v>
      </c>
      <c r="B24" s="58" t="str">
        <f>IFERROR(INDEX('Raw Data'!$A$2:$A$251,MATCH($A24,'Raw Data'!$Y$2:$Y$251,0)),"")</f>
        <v/>
      </c>
      <c r="C24" s="64" t="str">
        <f>IFERROR(INDEX('Raw Data'!$B$2:$B$251,MATCH($A24,'Raw Data'!$Y$2:$Y$251,0)),"")</f>
        <v/>
      </c>
      <c r="D24" s="58" t="str">
        <f>IFERROR(INDEX('Raw Data'!$D$2:$D$251,MATCH($A24,'Raw Data'!$Y$2:$Y$251,0)),"")</f>
        <v/>
      </c>
      <c r="E24" s="58" t="str">
        <f>IFERROR(INDEX('Raw Data'!$F$2:$F$251,MATCH($A24,'Raw Data'!$Y$2:$Y$251,0)),"")</f>
        <v/>
      </c>
      <c r="F24" s="58" t="str">
        <f>IFERROR(INDEX('Raw Data'!$H$2:$H$251,MATCH($A24,'Raw Data'!$Y$2:$Y$251,0)),"")</f>
        <v/>
      </c>
      <c r="G24" s="75" t="str">
        <f>IFERROR(INDEX('Raw Data'!$N$2:$N$251,MATCH($A24,'Raw Data'!$Y$2:$Y$251,0)),"")</f>
        <v/>
      </c>
      <c r="H24" s="58" t="str">
        <f>IFERROR(INDEX('Raw Data'!$K$2:$K$251,MATCH($A24,'Raw Data'!$Y$2:$Y$251,0)),"")</f>
        <v/>
      </c>
    </row>
    <row r="25" spans="1:8" x14ac:dyDescent="0.2">
      <c r="A25" s="58">
        <v>15</v>
      </c>
      <c r="B25" s="58" t="str">
        <f>IFERROR(INDEX('Raw Data'!$A$2:$A$251,MATCH($A25,'Raw Data'!$Y$2:$Y$251,0)),"")</f>
        <v/>
      </c>
      <c r="C25" s="64" t="str">
        <f>IFERROR(INDEX('Raw Data'!$B$2:$B$251,MATCH($A25,'Raw Data'!$Y$2:$Y$251,0)),"")</f>
        <v/>
      </c>
      <c r="D25" s="58" t="str">
        <f>IFERROR(INDEX('Raw Data'!$D$2:$D$251,MATCH($A25,'Raw Data'!$Y$2:$Y$251,0)),"")</f>
        <v/>
      </c>
      <c r="E25" s="58" t="str">
        <f>IFERROR(INDEX('Raw Data'!$F$2:$F$251,MATCH($A25,'Raw Data'!$Y$2:$Y$251,0)),"")</f>
        <v/>
      </c>
      <c r="F25" s="58" t="str">
        <f>IFERROR(INDEX('Raw Data'!$H$2:$H$251,MATCH($A25,'Raw Data'!$Y$2:$Y$251,0)),"")</f>
        <v/>
      </c>
      <c r="G25" s="75" t="str">
        <f>IFERROR(INDEX('Raw Data'!$N$2:$N$251,MATCH($A25,'Raw Data'!$Y$2:$Y$251,0)),"")</f>
        <v/>
      </c>
      <c r="H25" s="58" t="str">
        <f>IFERROR(INDEX('Raw Data'!$K$2:$K$251,MATCH($A25,'Raw Data'!$Y$2:$Y$251,0)),"")</f>
        <v/>
      </c>
    </row>
    <row r="26" spans="1:8" x14ac:dyDescent="0.2">
      <c r="A26" s="58">
        <v>16</v>
      </c>
      <c r="B26" s="58" t="str">
        <f>IFERROR(INDEX('Raw Data'!$A$2:$A$251,MATCH($A26,'Raw Data'!$Y$2:$Y$251,0)),"")</f>
        <v/>
      </c>
      <c r="C26" s="64" t="str">
        <f>IFERROR(INDEX('Raw Data'!$B$2:$B$251,MATCH($A26,'Raw Data'!$Y$2:$Y$251,0)),"")</f>
        <v/>
      </c>
      <c r="D26" s="58" t="str">
        <f>IFERROR(INDEX('Raw Data'!$D$2:$D$251,MATCH($A26,'Raw Data'!$Y$2:$Y$251,0)),"")</f>
        <v/>
      </c>
      <c r="E26" s="58" t="str">
        <f>IFERROR(INDEX('Raw Data'!$F$2:$F$251,MATCH($A26,'Raw Data'!$Y$2:$Y$251,0)),"")</f>
        <v/>
      </c>
      <c r="F26" s="58" t="str">
        <f>IFERROR(INDEX('Raw Data'!$H$2:$H$251,MATCH($A26,'Raw Data'!$Y$2:$Y$251,0)),"")</f>
        <v/>
      </c>
      <c r="G26" s="75" t="str">
        <f>IFERROR(INDEX('Raw Data'!$N$2:$N$251,MATCH($A26,'Raw Data'!$Y$2:$Y$251,0)),"")</f>
        <v/>
      </c>
      <c r="H26" s="58" t="str">
        <f>IFERROR(INDEX('Raw Data'!$K$2:$K$251,MATCH($A26,'Raw Data'!$Y$2:$Y$251,0)),"")</f>
        <v/>
      </c>
    </row>
    <row r="27" spans="1:8" x14ac:dyDescent="0.2">
      <c r="A27" s="58">
        <v>17</v>
      </c>
      <c r="B27" s="58" t="str">
        <f>IFERROR(INDEX('Raw Data'!$A$2:$A$251,MATCH($A27,'Raw Data'!$Y$2:$Y$251,0)),"")</f>
        <v/>
      </c>
      <c r="C27" s="64" t="str">
        <f>IFERROR(INDEX('Raw Data'!$B$2:$B$251,MATCH($A27,'Raw Data'!$Y$2:$Y$251,0)),"")</f>
        <v/>
      </c>
      <c r="D27" s="58" t="str">
        <f>IFERROR(INDEX('Raw Data'!$D$2:$D$251,MATCH($A27,'Raw Data'!$Y$2:$Y$251,0)),"")</f>
        <v/>
      </c>
      <c r="E27" s="58" t="str">
        <f>IFERROR(INDEX('Raw Data'!$F$2:$F$251,MATCH($A27,'Raw Data'!$Y$2:$Y$251,0)),"")</f>
        <v/>
      </c>
      <c r="F27" s="58" t="str">
        <f>IFERROR(INDEX('Raw Data'!$H$2:$H$251,MATCH($A27,'Raw Data'!$Y$2:$Y$251,0)),"")</f>
        <v/>
      </c>
      <c r="G27" s="75" t="str">
        <f>IFERROR(INDEX('Raw Data'!$N$2:$N$251,MATCH($A27,'Raw Data'!$Y$2:$Y$251,0)),"")</f>
        <v/>
      </c>
      <c r="H27" s="58" t="str">
        <f>IFERROR(INDEX('Raw Data'!$K$2:$K$251,MATCH($A27,'Raw Data'!$Y$2:$Y$251,0)),"")</f>
        <v/>
      </c>
    </row>
    <row r="28" spans="1:8" x14ac:dyDescent="0.2">
      <c r="A28" s="58">
        <v>18</v>
      </c>
      <c r="B28" s="58" t="str">
        <f>IFERROR(INDEX('Raw Data'!$A$2:$A$251,MATCH($A28,'Raw Data'!$Y$2:$Y$251,0)),"")</f>
        <v/>
      </c>
      <c r="C28" s="64" t="str">
        <f>IFERROR(INDEX('Raw Data'!$B$2:$B$251,MATCH($A28,'Raw Data'!$Y$2:$Y$251,0)),"")</f>
        <v/>
      </c>
      <c r="D28" s="58" t="str">
        <f>IFERROR(INDEX('Raw Data'!$D$2:$D$251,MATCH($A28,'Raw Data'!$Y$2:$Y$251,0)),"")</f>
        <v/>
      </c>
      <c r="E28" s="58" t="str">
        <f>IFERROR(INDEX('Raw Data'!$F$2:$F$251,MATCH($A28,'Raw Data'!$Y$2:$Y$251,0)),"")</f>
        <v/>
      </c>
      <c r="F28" s="58" t="str">
        <f>IFERROR(INDEX('Raw Data'!$H$2:$H$251,MATCH($A28,'Raw Data'!$Y$2:$Y$251,0)),"")</f>
        <v/>
      </c>
      <c r="G28" s="75" t="str">
        <f>IFERROR(INDEX('Raw Data'!$N$2:$N$251,MATCH($A28,'Raw Data'!$Y$2:$Y$251,0)),"")</f>
        <v/>
      </c>
      <c r="H28" s="58" t="str">
        <f>IFERROR(INDEX('Raw Data'!$K$2:$K$251,MATCH($A28,'Raw Data'!$Y$2:$Y$251,0)),"")</f>
        <v/>
      </c>
    </row>
    <row r="29" spans="1:8" x14ac:dyDescent="0.2">
      <c r="A29" s="58">
        <v>19</v>
      </c>
      <c r="B29" s="58" t="str">
        <f>IFERROR(INDEX('Raw Data'!$A$2:$A$251,MATCH($A29,'Raw Data'!$Y$2:$Y$251,0)),"")</f>
        <v/>
      </c>
      <c r="C29" s="64" t="str">
        <f>IFERROR(INDEX('Raw Data'!$B$2:$B$251,MATCH($A29,'Raw Data'!$Y$2:$Y$251,0)),"")</f>
        <v/>
      </c>
      <c r="D29" s="58" t="str">
        <f>IFERROR(INDEX('Raw Data'!$D$2:$D$251,MATCH($A29,'Raw Data'!$Y$2:$Y$251,0)),"")</f>
        <v/>
      </c>
      <c r="E29" s="58" t="str">
        <f>IFERROR(INDEX('Raw Data'!$F$2:$F$251,MATCH($A29,'Raw Data'!$Y$2:$Y$251,0)),"")</f>
        <v/>
      </c>
      <c r="F29" s="58" t="str">
        <f>IFERROR(INDEX('Raw Data'!$H$2:$H$251,MATCH($A29,'Raw Data'!$Y$2:$Y$251,0)),"")</f>
        <v/>
      </c>
      <c r="G29" s="75" t="str">
        <f>IFERROR(INDEX('Raw Data'!$N$2:$N$251,MATCH($A29,'Raw Data'!$Y$2:$Y$251,0)),"")</f>
        <v/>
      </c>
      <c r="H29" s="58" t="str">
        <f>IFERROR(INDEX('Raw Data'!$K$2:$K$251,MATCH($A29,'Raw Data'!$Y$2:$Y$251,0)),"")</f>
        <v/>
      </c>
    </row>
    <row r="30" spans="1:8" x14ac:dyDescent="0.2">
      <c r="A30" s="58">
        <v>20</v>
      </c>
      <c r="B30" s="58" t="str">
        <f>IFERROR(INDEX('Raw Data'!$A$2:$A$251,MATCH($A30,'Raw Data'!$Y$2:$Y$251,0)),"")</f>
        <v/>
      </c>
      <c r="C30" s="64" t="str">
        <f>IFERROR(INDEX('Raw Data'!$B$2:$B$251,MATCH($A30,'Raw Data'!$Y$2:$Y$251,0)),"")</f>
        <v/>
      </c>
      <c r="D30" s="58" t="str">
        <f>IFERROR(INDEX('Raw Data'!$D$2:$D$251,MATCH($A30,'Raw Data'!$Y$2:$Y$251,0)),"")</f>
        <v/>
      </c>
      <c r="E30" s="58" t="str">
        <f>IFERROR(INDEX('Raw Data'!$F$2:$F$251,MATCH($A30,'Raw Data'!$Y$2:$Y$251,0)),"")</f>
        <v/>
      </c>
      <c r="F30" s="58" t="str">
        <f>IFERROR(INDEX('Raw Data'!$H$2:$H$251,MATCH($A30,'Raw Data'!$Y$2:$Y$251,0)),"")</f>
        <v/>
      </c>
      <c r="G30" s="75" t="str">
        <f>IFERROR(INDEX('Raw Data'!$N$2:$N$251,MATCH($A30,'Raw Data'!$Y$2:$Y$251,0)),"")</f>
        <v/>
      </c>
      <c r="H30" s="58" t="str">
        <f>IFERROR(INDEX('Raw Data'!$K$2:$K$251,MATCH($A30,'Raw Data'!$Y$2:$Y$251,0)),"")</f>
        <v/>
      </c>
    </row>
    <row r="31" spans="1:8" x14ac:dyDescent="0.2">
      <c r="A31" s="58">
        <v>21</v>
      </c>
      <c r="B31" s="58" t="str">
        <f>IFERROR(INDEX('Raw Data'!$A$2:$A$251,MATCH($A31,'Raw Data'!$Y$2:$Y$251,0)),"")</f>
        <v/>
      </c>
      <c r="C31" s="64" t="str">
        <f>IFERROR(INDEX('Raw Data'!$B$2:$B$251,MATCH($A31,'Raw Data'!$Y$2:$Y$251,0)),"")</f>
        <v/>
      </c>
      <c r="D31" s="58" t="str">
        <f>IFERROR(INDEX('Raw Data'!$D$2:$D$251,MATCH($A31,'Raw Data'!$Y$2:$Y$251,0)),"")</f>
        <v/>
      </c>
      <c r="E31" s="58" t="str">
        <f>IFERROR(INDEX('Raw Data'!$F$2:$F$251,MATCH($A31,'Raw Data'!$Y$2:$Y$251,0)),"")</f>
        <v/>
      </c>
      <c r="F31" s="58" t="str">
        <f>IFERROR(INDEX('Raw Data'!$H$2:$H$251,MATCH($A31,'Raw Data'!$Y$2:$Y$251,0)),"")</f>
        <v/>
      </c>
      <c r="G31" s="75" t="str">
        <f>IFERROR(INDEX('Raw Data'!$N$2:$N$251,MATCH($A31,'Raw Data'!$Y$2:$Y$251,0)),"")</f>
        <v/>
      </c>
      <c r="H31" s="58" t="str">
        <f>IFERROR(INDEX('Raw Data'!$K$2:$K$251,MATCH($A31,'Raw Data'!$Y$2:$Y$251,0)),"")</f>
        <v/>
      </c>
    </row>
    <row r="32" spans="1:8" x14ac:dyDescent="0.2">
      <c r="A32" s="58">
        <v>22</v>
      </c>
      <c r="B32" s="58" t="str">
        <f>IFERROR(INDEX('Raw Data'!$A$2:$A$251,MATCH($A32,'Raw Data'!$Y$2:$Y$251,0)),"")</f>
        <v/>
      </c>
      <c r="C32" s="64" t="str">
        <f>IFERROR(INDEX('Raw Data'!$B$2:$B$251,MATCH($A32,'Raw Data'!$Y$2:$Y$251,0)),"")</f>
        <v/>
      </c>
      <c r="D32" s="58" t="str">
        <f>IFERROR(INDEX('Raw Data'!$D$2:$D$251,MATCH($A32,'Raw Data'!$Y$2:$Y$251,0)),"")</f>
        <v/>
      </c>
      <c r="E32" s="58" t="str">
        <f>IFERROR(INDEX('Raw Data'!$F$2:$F$251,MATCH($A32,'Raw Data'!$Y$2:$Y$251,0)),"")</f>
        <v/>
      </c>
      <c r="F32" s="58" t="str">
        <f>IFERROR(INDEX('Raw Data'!$H$2:$H$251,MATCH($A32,'Raw Data'!$Y$2:$Y$251,0)),"")</f>
        <v/>
      </c>
      <c r="G32" s="75" t="str">
        <f>IFERROR(INDEX('Raw Data'!$N$2:$N$251,MATCH($A32,'Raw Data'!$Y$2:$Y$251,0)),"")</f>
        <v/>
      </c>
      <c r="H32" s="58" t="str">
        <f>IFERROR(INDEX('Raw Data'!$K$2:$K$251,MATCH($A32,'Raw Data'!$Y$2:$Y$251,0)),"")</f>
        <v/>
      </c>
    </row>
    <row r="33" spans="1:8" x14ac:dyDescent="0.2">
      <c r="A33" s="58">
        <v>23</v>
      </c>
      <c r="B33" s="58" t="str">
        <f>IFERROR(INDEX('Raw Data'!$A$2:$A$251,MATCH($A33,'Raw Data'!$Y$2:$Y$251,0)),"")</f>
        <v/>
      </c>
      <c r="C33" s="64" t="str">
        <f>IFERROR(INDEX('Raw Data'!$B$2:$B$251,MATCH($A33,'Raw Data'!$Y$2:$Y$251,0)),"")</f>
        <v/>
      </c>
      <c r="D33" s="58" t="str">
        <f>IFERROR(INDEX('Raw Data'!$D$2:$D$251,MATCH($A33,'Raw Data'!$Y$2:$Y$251,0)),"")</f>
        <v/>
      </c>
      <c r="E33" s="58" t="str">
        <f>IFERROR(INDEX('Raw Data'!$F$2:$F$251,MATCH($A33,'Raw Data'!$Y$2:$Y$251,0)),"")</f>
        <v/>
      </c>
      <c r="F33" s="58" t="str">
        <f>IFERROR(INDEX('Raw Data'!$H$2:$H$251,MATCH($A33,'Raw Data'!$Y$2:$Y$251,0)),"")</f>
        <v/>
      </c>
      <c r="G33" s="75" t="str">
        <f>IFERROR(INDEX('Raw Data'!$N$2:$N$251,MATCH($A33,'Raw Data'!$Y$2:$Y$251,0)),"")</f>
        <v/>
      </c>
      <c r="H33" s="58" t="str">
        <f>IFERROR(INDEX('Raw Data'!$K$2:$K$251,MATCH($A33,'Raw Data'!$Y$2:$Y$251,0)),"")</f>
        <v/>
      </c>
    </row>
    <row r="34" spans="1:8" x14ac:dyDescent="0.2">
      <c r="A34" s="58">
        <v>24</v>
      </c>
      <c r="B34" s="58" t="str">
        <f>IFERROR(INDEX('Raw Data'!$A$2:$A$251,MATCH($A34,'Raw Data'!$Y$2:$Y$251,0)),"")</f>
        <v/>
      </c>
      <c r="C34" s="64" t="str">
        <f>IFERROR(INDEX('Raw Data'!$B$2:$B$251,MATCH($A34,'Raw Data'!$Y$2:$Y$251,0)),"")</f>
        <v/>
      </c>
      <c r="D34" s="58" t="str">
        <f>IFERROR(INDEX('Raw Data'!$D$2:$D$251,MATCH($A34,'Raw Data'!$Y$2:$Y$251,0)),"")</f>
        <v/>
      </c>
      <c r="E34" s="58" t="str">
        <f>IFERROR(INDEX('Raw Data'!$F$2:$F$251,MATCH($A34,'Raw Data'!$Y$2:$Y$251,0)),"")</f>
        <v/>
      </c>
      <c r="F34" s="58" t="str">
        <f>IFERROR(INDEX('Raw Data'!$H$2:$H$251,MATCH($A34,'Raw Data'!$Y$2:$Y$251,0)),"")</f>
        <v/>
      </c>
      <c r="G34" s="75" t="str">
        <f>IFERROR(INDEX('Raw Data'!$N$2:$N$251,MATCH($A34,'Raw Data'!$Y$2:$Y$251,0)),"")</f>
        <v/>
      </c>
      <c r="H34" s="58" t="str">
        <f>IFERROR(INDEX('Raw Data'!$K$2:$K$251,MATCH($A34,'Raw Data'!$Y$2:$Y$251,0)),"")</f>
        <v/>
      </c>
    </row>
    <row r="35" spans="1:8" x14ac:dyDescent="0.2">
      <c r="A35" s="58">
        <v>25</v>
      </c>
      <c r="B35" s="58" t="str">
        <f>IFERROR(INDEX('Raw Data'!$A$2:$A$251,MATCH($A35,'Raw Data'!$Y$2:$Y$251,0)),"")</f>
        <v/>
      </c>
      <c r="C35" s="64" t="str">
        <f>IFERROR(INDEX('Raw Data'!$B$2:$B$251,MATCH($A35,'Raw Data'!$Y$2:$Y$251,0)),"")</f>
        <v/>
      </c>
      <c r="D35" s="58" t="str">
        <f>IFERROR(INDEX('Raw Data'!$D$2:$D$251,MATCH($A35,'Raw Data'!$Y$2:$Y$251,0)),"")</f>
        <v/>
      </c>
      <c r="E35" s="58" t="str">
        <f>IFERROR(INDEX('Raw Data'!$F$2:$F$251,MATCH($A35,'Raw Data'!$Y$2:$Y$251,0)),"")</f>
        <v/>
      </c>
      <c r="F35" s="58" t="str">
        <f>IFERROR(INDEX('Raw Data'!$H$2:$H$251,MATCH($A35,'Raw Data'!$Y$2:$Y$251,0)),"")</f>
        <v/>
      </c>
      <c r="G35" s="75" t="str">
        <f>IFERROR(INDEX('Raw Data'!$N$2:$N$251,MATCH($A35,'Raw Data'!$Y$2:$Y$251,0)),"")</f>
        <v/>
      </c>
      <c r="H35" s="58" t="str">
        <f>IFERROR(INDEX('Raw Data'!$K$2:$K$251,MATCH($A35,'Raw Data'!$Y$2:$Y$251,0)),"")</f>
        <v/>
      </c>
    </row>
    <row r="36" spans="1:8" x14ac:dyDescent="0.2">
      <c r="A36" s="58">
        <v>26</v>
      </c>
      <c r="B36" s="58" t="str">
        <f>IFERROR(INDEX('Raw Data'!$A$2:$A$251,MATCH($A36,'Raw Data'!$Y$2:$Y$251,0)),"")</f>
        <v/>
      </c>
      <c r="C36" s="64" t="str">
        <f>IFERROR(INDEX('Raw Data'!$B$2:$B$251,MATCH($A36,'Raw Data'!$Y$2:$Y$251,0)),"")</f>
        <v/>
      </c>
      <c r="D36" s="58" t="str">
        <f>IFERROR(INDEX('Raw Data'!$D$2:$D$251,MATCH($A36,'Raw Data'!$Y$2:$Y$251,0)),"")</f>
        <v/>
      </c>
      <c r="E36" s="58" t="str">
        <f>IFERROR(INDEX('Raw Data'!$F$2:$F$251,MATCH($A36,'Raw Data'!$Y$2:$Y$251,0)),"")</f>
        <v/>
      </c>
      <c r="F36" s="58" t="str">
        <f>IFERROR(INDEX('Raw Data'!$H$2:$H$251,MATCH($A36,'Raw Data'!$Y$2:$Y$251,0)),"")</f>
        <v/>
      </c>
      <c r="G36" s="75" t="str">
        <f>IFERROR(INDEX('Raw Data'!$N$2:$N$251,MATCH($A36,'Raw Data'!$Y$2:$Y$251,0)),"")</f>
        <v/>
      </c>
      <c r="H36" s="58" t="str">
        <f>IFERROR(INDEX('Raw Data'!$K$2:$K$251,MATCH($A36,'Raw Data'!$Y$2:$Y$251,0)),"")</f>
        <v/>
      </c>
    </row>
    <row r="37" spans="1:8" x14ac:dyDescent="0.2">
      <c r="A37" s="58">
        <v>27</v>
      </c>
      <c r="B37" s="58" t="str">
        <f>IFERROR(INDEX('Raw Data'!$A$2:$A$251,MATCH($A37,'Raw Data'!$Y$2:$Y$251,0)),"")</f>
        <v/>
      </c>
      <c r="C37" s="64" t="str">
        <f>IFERROR(INDEX('Raw Data'!$B$2:$B$251,MATCH($A37,'Raw Data'!$Y$2:$Y$251,0)),"")</f>
        <v/>
      </c>
      <c r="D37" s="58" t="str">
        <f>IFERROR(INDEX('Raw Data'!$D$2:$D$251,MATCH($A37,'Raw Data'!$Y$2:$Y$251,0)),"")</f>
        <v/>
      </c>
      <c r="E37" s="58" t="str">
        <f>IFERROR(INDEX('Raw Data'!$F$2:$F$251,MATCH($A37,'Raw Data'!$Y$2:$Y$251,0)),"")</f>
        <v/>
      </c>
      <c r="F37" s="58" t="str">
        <f>IFERROR(INDEX('Raw Data'!$H$2:$H$251,MATCH($A37,'Raw Data'!$Y$2:$Y$251,0)),"")</f>
        <v/>
      </c>
      <c r="G37" s="75" t="str">
        <f>IFERROR(INDEX('Raw Data'!$N$2:$N$251,MATCH($A37,'Raw Data'!$Y$2:$Y$251,0)),"")</f>
        <v/>
      </c>
      <c r="H37" s="58" t="str">
        <f>IFERROR(INDEX('Raw Data'!$K$2:$K$251,MATCH($A37,'Raw Data'!$Y$2:$Y$251,0)),"")</f>
        <v/>
      </c>
    </row>
    <row r="38" spans="1:8" x14ac:dyDescent="0.2">
      <c r="A38" s="58">
        <v>28</v>
      </c>
      <c r="B38" s="58" t="str">
        <f>IFERROR(INDEX('Raw Data'!$A$2:$A$251,MATCH($A38,'Raw Data'!$Y$2:$Y$251,0)),"")</f>
        <v/>
      </c>
      <c r="C38" s="64" t="str">
        <f>IFERROR(INDEX('Raw Data'!$B$2:$B$251,MATCH($A38,'Raw Data'!$Y$2:$Y$251,0)),"")</f>
        <v/>
      </c>
      <c r="D38" s="58" t="str">
        <f>IFERROR(INDEX('Raw Data'!$D$2:$D$251,MATCH($A38,'Raw Data'!$Y$2:$Y$251,0)),"")</f>
        <v/>
      </c>
      <c r="E38" s="58" t="str">
        <f>IFERROR(INDEX('Raw Data'!$F$2:$F$251,MATCH($A38,'Raw Data'!$Y$2:$Y$251,0)),"")</f>
        <v/>
      </c>
      <c r="F38" s="58" t="str">
        <f>IFERROR(INDEX('Raw Data'!$H$2:$H$251,MATCH($A38,'Raw Data'!$Y$2:$Y$251,0)),"")</f>
        <v/>
      </c>
      <c r="G38" s="75" t="str">
        <f>IFERROR(INDEX('Raw Data'!$N$2:$N$251,MATCH($A38,'Raw Data'!$Y$2:$Y$251,0)),"")</f>
        <v/>
      </c>
      <c r="H38" s="58" t="str">
        <f>IFERROR(INDEX('Raw Data'!$K$2:$K$251,MATCH($A38,'Raw Data'!$Y$2:$Y$251,0)),"")</f>
        <v/>
      </c>
    </row>
    <row r="39" spans="1:8" x14ac:dyDescent="0.2">
      <c r="A39" s="58">
        <v>29</v>
      </c>
      <c r="B39" s="58" t="str">
        <f>IFERROR(INDEX('Raw Data'!$A$2:$A$251,MATCH($A39,'Raw Data'!$Y$2:$Y$251,0)),"")</f>
        <v/>
      </c>
      <c r="C39" s="64" t="str">
        <f>IFERROR(INDEX('Raw Data'!$B$2:$B$251,MATCH($A39,'Raw Data'!$Y$2:$Y$251,0)),"")</f>
        <v/>
      </c>
      <c r="D39" s="58" t="str">
        <f>IFERROR(INDEX('Raw Data'!$D$2:$D$251,MATCH($A39,'Raw Data'!$Y$2:$Y$251,0)),"")</f>
        <v/>
      </c>
      <c r="E39" s="58" t="str">
        <f>IFERROR(INDEX('Raw Data'!$F$2:$F$251,MATCH($A39,'Raw Data'!$Y$2:$Y$251,0)),"")</f>
        <v/>
      </c>
      <c r="F39" s="58" t="str">
        <f>IFERROR(INDEX('Raw Data'!$H$2:$H$251,MATCH($A39,'Raw Data'!$Y$2:$Y$251,0)),"")</f>
        <v/>
      </c>
      <c r="G39" s="75" t="str">
        <f>IFERROR(INDEX('Raw Data'!$N$2:$N$251,MATCH($A39,'Raw Data'!$Y$2:$Y$251,0)),"")</f>
        <v/>
      </c>
      <c r="H39" s="58" t="str">
        <f>IFERROR(INDEX('Raw Data'!$K$2:$K$251,MATCH($A39,'Raw Data'!$Y$2:$Y$251,0)),"")</f>
        <v/>
      </c>
    </row>
    <row r="40" spans="1:8" x14ac:dyDescent="0.2">
      <c r="A40" s="58">
        <v>30</v>
      </c>
      <c r="B40" s="58" t="str">
        <f>IFERROR(INDEX('Raw Data'!$A$2:$A$251,MATCH($A40,'Raw Data'!$Y$2:$Y$251,0)),"")</f>
        <v/>
      </c>
      <c r="C40" s="64" t="str">
        <f>IFERROR(INDEX('Raw Data'!$B$2:$B$251,MATCH($A40,'Raw Data'!$Y$2:$Y$251,0)),"")</f>
        <v/>
      </c>
      <c r="D40" s="58" t="str">
        <f>IFERROR(INDEX('Raw Data'!$D$2:$D$251,MATCH($A40,'Raw Data'!$Y$2:$Y$251,0)),"")</f>
        <v/>
      </c>
      <c r="E40" s="58" t="str">
        <f>IFERROR(INDEX('Raw Data'!$F$2:$F$251,MATCH($A40,'Raw Data'!$Y$2:$Y$251,0)),"")</f>
        <v/>
      </c>
      <c r="F40" s="58" t="str">
        <f>IFERROR(INDEX('Raw Data'!$H$2:$H$251,MATCH($A40,'Raw Data'!$Y$2:$Y$251,0)),"")</f>
        <v/>
      </c>
      <c r="G40" s="75" t="str">
        <f>IFERROR(INDEX('Raw Data'!$N$2:$N$251,MATCH($A40,'Raw Data'!$Y$2:$Y$251,0)),"")</f>
        <v/>
      </c>
      <c r="H40" s="58" t="str">
        <f>IFERROR(INDEX('Raw Data'!$K$2:$K$251,MATCH($A40,'Raw Data'!$Y$2:$Y$251,0)),"")</f>
        <v/>
      </c>
    </row>
  </sheetData>
  <dataValidations count="1">
    <dataValidation type="list" sqref="B4" xr:uid="{00000000-0002-0000-0600-000000000000}">
      <formula1>"Central,East,North,South,West"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AC61"/>
  <sheetViews>
    <sheetView showGridLines="0" zoomScaleNormal="100" workbookViewId="0"/>
  </sheetViews>
  <sheetFormatPr baseColWidth="10" defaultColWidth="8.6640625" defaultRowHeight="15" x14ac:dyDescent="0.2"/>
  <cols>
    <col min="1" max="30" width="14" customWidth="1"/>
  </cols>
  <sheetData>
    <row r="1" spans="1:29" ht="20" x14ac:dyDescent="0.2">
      <c r="A1" s="15" t="s">
        <v>600</v>
      </c>
    </row>
    <row r="2" spans="1:29" x14ac:dyDescent="0.2">
      <c r="A2" s="16" t="s">
        <v>601</v>
      </c>
    </row>
    <row r="3" spans="1:29" x14ac:dyDescent="0.2">
      <c r="A3" s="16" t="s">
        <v>602</v>
      </c>
    </row>
    <row r="4" spans="1:29" x14ac:dyDescent="0.2">
      <c r="A4" s="144" t="s">
        <v>24</v>
      </c>
      <c r="B4" s="144"/>
      <c r="E4" s="144" t="s">
        <v>50</v>
      </c>
      <c r="F4" s="144"/>
      <c r="I4" s="144" t="s">
        <v>25</v>
      </c>
      <c r="J4" s="144"/>
      <c r="M4" s="144" t="s">
        <v>51</v>
      </c>
      <c r="N4" s="144"/>
      <c r="Q4" s="144" t="s">
        <v>27</v>
      </c>
      <c r="R4" s="144"/>
      <c r="U4" s="144" t="s">
        <v>603</v>
      </c>
      <c r="V4" s="144"/>
      <c r="Y4" s="144" t="s">
        <v>604</v>
      </c>
      <c r="Z4" s="144"/>
      <c r="AA4" s="144"/>
      <c r="AB4" s="144"/>
      <c r="AC4" s="144"/>
    </row>
    <row r="6" spans="1:29" x14ac:dyDescent="0.2">
      <c r="A6" t="s">
        <v>52</v>
      </c>
      <c r="E6" t="s">
        <v>52</v>
      </c>
      <c r="I6" t="s">
        <v>52</v>
      </c>
      <c r="M6" t="s">
        <v>52</v>
      </c>
      <c r="Q6" t="s">
        <v>52</v>
      </c>
      <c r="U6" t="s">
        <v>52</v>
      </c>
      <c r="Y6" t="s">
        <v>52</v>
      </c>
    </row>
    <row r="7" spans="1:29" x14ac:dyDescent="0.2">
      <c r="A7" s="26" t="s">
        <v>53</v>
      </c>
      <c r="B7" s="27" t="s">
        <v>54</v>
      </c>
      <c r="E7" s="26" t="s">
        <v>55</v>
      </c>
      <c r="F7" s="27" t="s">
        <v>54</v>
      </c>
      <c r="I7" s="26" t="s">
        <v>55</v>
      </c>
      <c r="J7" s="27" t="s">
        <v>54</v>
      </c>
      <c r="M7" s="26" t="s">
        <v>55</v>
      </c>
      <c r="N7" s="27" t="s">
        <v>54</v>
      </c>
      <c r="Q7" s="26" t="s">
        <v>55</v>
      </c>
      <c r="R7" s="27" t="s">
        <v>54</v>
      </c>
      <c r="U7" s="26" t="s">
        <v>55</v>
      </c>
      <c r="V7" s="27" t="s">
        <v>54</v>
      </c>
      <c r="Y7" s="26" t="s">
        <v>56</v>
      </c>
      <c r="Z7" s="27" t="s">
        <v>54</v>
      </c>
    </row>
    <row r="8" spans="1:29" x14ac:dyDescent="0.2">
      <c r="A8" s="26" t="s">
        <v>56</v>
      </c>
      <c r="B8" s="27" t="s">
        <v>54</v>
      </c>
      <c r="E8" s="26" t="s">
        <v>53</v>
      </c>
      <c r="F8" s="27" t="s">
        <v>54</v>
      </c>
      <c r="I8" s="26" t="s">
        <v>56</v>
      </c>
      <c r="J8" s="27" t="s">
        <v>54</v>
      </c>
      <c r="M8" s="26" t="s">
        <v>53</v>
      </c>
      <c r="N8" s="27" t="s">
        <v>54</v>
      </c>
      <c r="Q8" s="26" t="s">
        <v>53</v>
      </c>
      <c r="R8" s="27" t="s">
        <v>54</v>
      </c>
      <c r="U8" s="26" t="s">
        <v>53</v>
      </c>
      <c r="V8" s="27" t="s">
        <v>54</v>
      </c>
    </row>
    <row r="9" spans="1:29" x14ac:dyDescent="0.2">
      <c r="Y9" s="76" t="s">
        <v>57</v>
      </c>
      <c r="Z9" s="77" t="s">
        <v>53</v>
      </c>
      <c r="AA9" s="78"/>
      <c r="AB9" s="78"/>
      <c r="AC9" s="79"/>
    </row>
    <row r="10" spans="1:29" x14ac:dyDescent="0.2">
      <c r="A10" s="28" t="s">
        <v>55</v>
      </c>
      <c r="B10" s="29" t="s">
        <v>57</v>
      </c>
      <c r="E10" s="28" t="s">
        <v>59</v>
      </c>
      <c r="F10" s="29" t="s">
        <v>57</v>
      </c>
      <c r="I10" s="28" t="s">
        <v>53</v>
      </c>
      <c r="J10" s="29" t="s">
        <v>57</v>
      </c>
      <c r="M10" s="28" t="s">
        <v>60</v>
      </c>
      <c r="N10" s="29" t="s">
        <v>57</v>
      </c>
      <c r="Q10" s="28" t="s">
        <v>56</v>
      </c>
      <c r="R10" s="29" t="s">
        <v>58</v>
      </c>
      <c r="U10" s="28" t="s">
        <v>118</v>
      </c>
      <c r="V10" s="29" t="s">
        <v>57</v>
      </c>
      <c r="Y10" s="80" t="s">
        <v>55</v>
      </c>
      <c r="Z10" s="81" t="s">
        <v>62</v>
      </c>
      <c r="AA10" s="82" t="s">
        <v>67</v>
      </c>
      <c r="AB10" s="82" t="s">
        <v>72</v>
      </c>
      <c r="AC10" s="83" t="s">
        <v>77</v>
      </c>
    </row>
    <row r="11" spans="1:29" x14ac:dyDescent="0.2">
      <c r="A11" s="30" t="s">
        <v>61</v>
      </c>
      <c r="B11" s="31">
        <v>41288.339999999997</v>
      </c>
      <c r="E11" s="30" t="s">
        <v>64</v>
      </c>
      <c r="F11" s="31">
        <v>20919.330000000002</v>
      </c>
      <c r="I11" s="30" t="s">
        <v>62</v>
      </c>
      <c r="J11" s="31">
        <v>8338.74</v>
      </c>
      <c r="M11" s="30" t="s">
        <v>65</v>
      </c>
      <c r="N11" s="31">
        <v>5219.13</v>
      </c>
      <c r="Q11" s="30" t="s">
        <v>63</v>
      </c>
      <c r="R11" s="32">
        <v>76</v>
      </c>
      <c r="U11" s="30" t="s">
        <v>426</v>
      </c>
      <c r="V11" s="31">
        <v>1559.94</v>
      </c>
      <c r="Y11" s="30" t="s">
        <v>61</v>
      </c>
      <c r="Z11" s="84">
        <v>1999.71</v>
      </c>
      <c r="AA11" s="85">
        <v>24889.33</v>
      </c>
      <c r="AB11" s="86">
        <v>14399.3</v>
      </c>
      <c r="AC11" s="87">
        <v>41288.339999999997</v>
      </c>
    </row>
    <row r="12" spans="1:29" x14ac:dyDescent="0.2">
      <c r="A12" s="33" t="s">
        <v>66</v>
      </c>
      <c r="B12" s="34">
        <v>59288.39</v>
      </c>
      <c r="E12" s="33" t="s">
        <v>69</v>
      </c>
      <c r="F12" s="34">
        <v>17039.349999999999</v>
      </c>
      <c r="I12" s="33" t="s">
        <v>67</v>
      </c>
      <c r="J12" s="34">
        <v>171756.05</v>
      </c>
      <c r="M12" s="33" t="s">
        <v>70</v>
      </c>
      <c r="N12" s="34">
        <v>15298.98</v>
      </c>
      <c r="Q12" s="33" t="s">
        <v>68</v>
      </c>
      <c r="R12" s="35">
        <v>68</v>
      </c>
      <c r="U12" s="33" t="s">
        <v>201</v>
      </c>
      <c r="V12" s="34">
        <v>10649.8</v>
      </c>
      <c r="Y12" s="33" t="s">
        <v>66</v>
      </c>
      <c r="Z12" s="88">
        <v>2239.67</v>
      </c>
      <c r="AA12" s="89">
        <v>50649.01</v>
      </c>
      <c r="AB12" s="90">
        <v>6399.71</v>
      </c>
      <c r="AC12" s="91">
        <v>59288.39</v>
      </c>
    </row>
    <row r="13" spans="1:29" x14ac:dyDescent="0.2">
      <c r="A13" s="33" t="s">
        <v>71</v>
      </c>
      <c r="B13" s="34">
        <v>50808.31</v>
      </c>
      <c r="E13" s="33" t="s">
        <v>74</v>
      </c>
      <c r="F13" s="34">
        <v>19299.45</v>
      </c>
      <c r="I13" s="33" t="s">
        <v>72</v>
      </c>
      <c r="J13" s="36">
        <v>49097.68</v>
      </c>
      <c r="M13" s="33" t="s">
        <v>75</v>
      </c>
      <c r="N13" s="34">
        <v>3119.61</v>
      </c>
      <c r="Q13" s="33" t="s">
        <v>73</v>
      </c>
      <c r="R13" s="35">
        <v>54</v>
      </c>
      <c r="U13" s="33" t="s">
        <v>259</v>
      </c>
      <c r="V13" s="34">
        <v>5649.84</v>
      </c>
      <c r="Y13" s="33" t="s">
        <v>71</v>
      </c>
      <c r="Z13" s="88">
        <v>1119.8399999999999</v>
      </c>
      <c r="AA13" s="89">
        <v>39239.040000000001</v>
      </c>
      <c r="AB13" s="90">
        <v>10449.43</v>
      </c>
      <c r="AC13" s="91">
        <v>50808.31</v>
      </c>
    </row>
    <row r="14" spans="1:29" x14ac:dyDescent="0.2">
      <c r="A14" s="33" t="s">
        <v>76</v>
      </c>
      <c r="B14" s="34">
        <v>36398.75</v>
      </c>
      <c r="E14" s="33" t="s">
        <v>79</v>
      </c>
      <c r="F14" s="34">
        <v>18479.400000000001</v>
      </c>
      <c r="I14" s="37" t="s">
        <v>77</v>
      </c>
      <c r="J14" s="38">
        <v>229192.47</v>
      </c>
      <c r="M14" s="33" t="s">
        <v>80</v>
      </c>
      <c r="N14" s="34">
        <v>23399.22</v>
      </c>
      <c r="Q14" s="33" t="s">
        <v>78</v>
      </c>
      <c r="R14" s="39">
        <v>52</v>
      </c>
      <c r="U14" s="33" t="s">
        <v>332</v>
      </c>
      <c r="V14" s="34">
        <v>1149.93</v>
      </c>
      <c r="Y14" s="33" t="s">
        <v>76</v>
      </c>
      <c r="Z14" s="88">
        <v>1099.83</v>
      </c>
      <c r="AA14" s="89">
        <v>25549.32</v>
      </c>
      <c r="AB14" s="90">
        <v>9749.6</v>
      </c>
      <c r="AC14" s="91">
        <v>36398.75</v>
      </c>
    </row>
    <row r="15" spans="1:29" x14ac:dyDescent="0.2">
      <c r="A15" s="33" t="s">
        <v>81</v>
      </c>
      <c r="B15" s="36">
        <v>41408.68</v>
      </c>
      <c r="E15" s="33" t="s">
        <v>82</v>
      </c>
      <c r="F15" s="34">
        <v>15759.43</v>
      </c>
      <c r="M15" s="33" t="s">
        <v>83</v>
      </c>
      <c r="N15" s="34">
        <v>7049.53</v>
      </c>
      <c r="Q15" s="37" t="s">
        <v>77</v>
      </c>
      <c r="R15" s="40">
        <v>250</v>
      </c>
      <c r="U15" s="33" t="s">
        <v>164</v>
      </c>
      <c r="V15" s="34">
        <v>5089.7299999999996</v>
      </c>
      <c r="Y15" s="33" t="s">
        <v>81</v>
      </c>
      <c r="Z15" s="92">
        <v>1879.69</v>
      </c>
      <c r="AA15" s="93">
        <v>31429.35</v>
      </c>
      <c r="AB15" s="94">
        <v>8099.64</v>
      </c>
      <c r="AC15" s="95">
        <v>41408.68</v>
      </c>
    </row>
    <row r="16" spans="1:29" x14ac:dyDescent="0.2">
      <c r="A16" s="37" t="s">
        <v>77</v>
      </c>
      <c r="B16" s="38">
        <v>229192.47</v>
      </c>
      <c r="E16" s="33" t="s">
        <v>84</v>
      </c>
      <c r="F16" s="34">
        <v>12989.51</v>
      </c>
      <c r="M16" s="33" t="s">
        <v>85</v>
      </c>
      <c r="N16" s="34">
        <v>8009.11</v>
      </c>
      <c r="U16" s="33" t="s">
        <v>207</v>
      </c>
      <c r="V16" s="34">
        <v>3769.83</v>
      </c>
      <c r="Y16" s="37" t="s">
        <v>77</v>
      </c>
      <c r="Z16" s="96">
        <v>8338.74</v>
      </c>
      <c r="AA16" s="97">
        <v>171756.05</v>
      </c>
      <c r="AB16" s="98">
        <v>49097.68</v>
      </c>
      <c r="AC16" s="38">
        <v>229192.47</v>
      </c>
    </row>
    <row r="17" spans="5:22" x14ac:dyDescent="0.2">
      <c r="E17" s="33" t="s">
        <v>86</v>
      </c>
      <c r="F17" s="34">
        <v>20609.52</v>
      </c>
      <c r="M17" s="33" t="s">
        <v>87</v>
      </c>
      <c r="N17" s="34">
        <v>67499.25</v>
      </c>
      <c r="U17" s="33" t="s">
        <v>248</v>
      </c>
      <c r="V17" s="34">
        <v>7309.8</v>
      </c>
    </row>
    <row r="18" spans="5:22" x14ac:dyDescent="0.2">
      <c r="E18" s="33" t="s">
        <v>88</v>
      </c>
      <c r="F18" s="34">
        <v>12309.44</v>
      </c>
      <c r="M18" s="33" t="s">
        <v>89</v>
      </c>
      <c r="N18" s="34">
        <v>21999.119999999999</v>
      </c>
      <c r="U18" s="33" t="s">
        <v>283</v>
      </c>
      <c r="V18" s="34">
        <v>1809.84</v>
      </c>
    </row>
    <row r="19" spans="5:22" x14ac:dyDescent="0.2">
      <c r="E19" s="33" t="s">
        <v>90</v>
      </c>
      <c r="F19" s="34">
        <v>23039.3</v>
      </c>
      <c r="M19" s="33" t="s">
        <v>91</v>
      </c>
      <c r="N19" s="34">
        <v>10399.48</v>
      </c>
      <c r="U19" s="33" t="s">
        <v>181</v>
      </c>
      <c r="V19" s="34">
        <v>479.92</v>
      </c>
    </row>
    <row r="20" spans="5:22" x14ac:dyDescent="0.2">
      <c r="E20" s="33" t="s">
        <v>92</v>
      </c>
      <c r="F20" s="34">
        <v>25799.15</v>
      </c>
      <c r="M20" s="33" t="s">
        <v>93</v>
      </c>
      <c r="N20" s="36">
        <v>67199.039999999994</v>
      </c>
      <c r="U20" s="33" t="s">
        <v>159</v>
      </c>
      <c r="V20" s="34">
        <v>8269.7900000000009</v>
      </c>
    </row>
    <row r="21" spans="5:22" x14ac:dyDescent="0.2">
      <c r="E21" s="33" t="s">
        <v>94</v>
      </c>
      <c r="F21" s="34">
        <v>16069.38</v>
      </c>
      <c r="M21" s="37" t="s">
        <v>77</v>
      </c>
      <c r="N21" s="38">
        <v>229192.47</v>
      </c>
      <c r="U21" s="33" t="s">
        <v>394</v>
      </c>
      <c r="V21" s="34">
        <v>4829.8900000000003</v>
      </c>
    </row>
    <row r="22" spans="5:22" x14ac:dyDescent="0.2">
      <c r="E22" s="33" t="s">
        <v>95</v>
      </c>
      <c r="F22" s="34">
        <v>19899.38</v>
      </c>
      <c r="U22" s="33" t="s">
        <v>225</v>
      </c>
      <c r="V22" s="34">
        <v>11919.77</v>
      </c>
    </row>
    <row r="23" spans="5:22" x14ac:dyDescent="0.2">
      <c r="E23" s="33" t="s">
        <v>96</v>
      </c>
      <c r="F23" s="36">
        <v>6979.83</v>
      </c>
      <c r="U23" s="33" t="s">
        <v>312</v>
      </c>
      <c r="V23" s="34">
        <v>3649.86</v>
      </c>
    </row>
    <row r="24" spans="5:22" x14ac:dyDescent="0.2">
      <c r="E24" s="37" t="s">
        <v>77</v>
      </c>
      <c r="F24" s="38">
        <v>229192.47</v>
      </c>
      <c r="U24" s="33" t="s">
        <v>233</v>
      </c>
      <c r="V24" s="34">
        <v>1229.8800000000001</v>
      </c>
    </row>
    <row r="25" spans="5:22" x14ac:dyDescent="0.2">
      <c r="U25" s="33" t="s">
        <v>293</v>
      </c>
      <c r="V25" s="34">
        <v>1479.91</v>
      </c>
    </row>
    <row r="26" spans="5:22" x14ac:dyDescent="0.2">
      <c r="U26" s="33" t="s">
        <v>188</v>
      </c>
      <c r="V26" s="34">
        <v>3779.93</v>
      </c>
    </row>
    <row r="27" spans="5:22" x14ac:dyDescent="0.2">
      <c r="U27" s="33" t="s">
        <v>297</v>
      </c>
      <c r="V27" s="34">
        <v>6379.87</v>
      </c>
    </row>
    <row r="28" spans="5:22" x14ac:dyDescent="0.2">
      <c r="U28" s="33" t="s">
        <v>245</v>
      </c>
      <c r="V28" s="34">
        <v>5519.89</v>
      </c>
    </row>
    <row r="29" spans="5:22" x14ac:dyDescent="0.2">
      <c r="U29" s="33" t="s">
        <v>222</v>
      </c>
      <c r="V29" s="34">
        <v>6459.79</v>
      </c>
    </row>
    <row r="30" spans="5:22" x14ac:dyDescent="0.2">
      <c r="U30" s="33" t="s">
        <v>405</v>
      </c>
      <c r="V30" s="34">
        <v>179.97</v>
      </c>
    </row>
    <row r="31" spans="5:22" x14ac:dyDescent="0.2">
      <c r="U31" s="33" t="s">
        <v>242</v>
      </c>
      <c r="V31" s="34">
        <v>4739.8500000000004</v>
      </c>
    </row>
    <row r="32" spans="5:22" x14ac:dyDescent="0.2">
      <c r="U32" s="33" t="s">
        <v>487</v>
      </c>
      <c r="V32" s="34">
        <v>599.96</v>
      </c>
    </row>
    <row r="33" spans="21:22" x14ac:dyDescent="0.2">
      <c r="U33" s="33" t="s">
        <v>143</v>
      </c>
      <c r="V33" s="34">
        <v>6949.84</v>
      </c>
    </row>
    <row r="34" spans="21:22" x14ac:dyDescent="0.2">
      <c r="U34" s="33" t="s">
        <v>263</v>
      </c>
      <c r="V34" s="34">
        <v>239.96</v>
      </c>
    </row>
    <row r="35" spans="21:22" x14ac:dyDescent="0.2">
      <c r="U35" s="33" t="s">
        <v>171</v>
      </c>
      <c r="V35" s="34">
        <v>8009.77</v>
      </c>
    </row>
    <row r="36" spans="21:22" x14ac:dyDescent="0.2">
      <c r="U36" s="33" t="s">
        <v>152</v>
      </c>
      <c r="V36" s="34">
        <v>4309.8100000000004</v>
      </c>
    </row>
    <row r="37" spans="21:22" x14ac:dyDescent="0.2">
      <c r="U37" s="33" t="s">
        <v>147</v>
      </c>
      <c r="V37" s="34">
        <v>3259.87</v>
      </c>
    </row>
    <row r="38" spans="21:22" x14ac:dyDescent="0.2">
      <c r="U38" s="33" t="s">
        <v>327</v>
      </c>
      <c r="V38" s="34">
        <v>6989.77</v>
      </c>
    </row>
    <row r="39" spans="21:22" x14ac:dyDescent="0.2">
      <c r="U39" s="33" t="s">
        <v>216</v>
      </c>
      <c r="V39" s="34">
        <v>1289.9000000000001</v>
      </c>
    </row>
    <row r="40" spans="21:22" x14ac:dyDescent="0.2">
      <c r="U40" s="33" t="s">
        <v>230</v>
      </c>
      <c r="V40" s="34">
        <v>2039.8</v>
      </c>
    </row>
    <row r="41" spans="21:22" x14ac:dyDescent="0.2">
      <c r="U41" s="33" t="s">
        <v>286</v>
      </c>
      <c r="V41" s="34">
        <v>2099.88</v>
      </c>
    </row>
    <row r="42" spans="21:22" x14ac:dyDescent="0.2">
      <c r="U42" s="33" t="s">
        <v>194</v>
      </c>
      <c r="V42" s="34">
        <v>1909.93</v>
      </c>
    </row>
    <row r="43" spans="21:22" x14ac:dyDescent="0.2">
      <c r="U43" s="33" t="s">
        <v>191</v>
      </c>
      <c r="V43" s="34">
        <v>15659.65</v>
      </c>
    </row>
    <row r="44" spans="21:22" x14ac:dyDescent="0.2">
      <c r="U44" s="33" t="s">
        <v>155</v>
      </c>
      <c r="V44" s="34">
        <v>6169.74</v>
      </c>
    </row>
    <row r="45" spans="21:22" x14ac:dyDescent="0.2">
      <c r="U45" s="33" t="s">
        <v>184</v>
      </c>
      <c r="V45" s="34">
        <v>4199.9399999999996</v>
      </c>
    </row>
    <row r="46" spans="21:22" x14ac:dyDescent="0.2">
      <c r="U46" s="33" t="s">
        <v>212</v>
      </c>
      <c r="V46" s="34">
        <v>4189.7700000000004</v>
      </c>
    </row>
    <row r="47" spans="21:22" x14ac:dyDescent="0.2">
      <c r="U47" s="33" t="s">
        <v>204</v>
      </c>
      <c r="V47" s="34">
        <v>9799.73</v>
      </c>
    </row>
    <row r="48" spans="21:22" x14ac:dyDescent="0.2">
      <c r="U48" s="33" t="s">
        <v>138</v>
      </c>
      <c r="V48" s="34">
        <v>8309.74</v>
      </c>
    </row>
    <row r="49" spans="21:22" x14ac:dyDescent="0.2">
      <c r="U49" s="33" t="s">
        <v>178</v>
      </c>
      <c r="V49" s="34">
        <v>5949.85</v>
      </c>
    </row>
    <row r="50" spans="21:22" x14ac:dyDescent="0.2">
      <c r="U50" s="33" t="s">
        <v>272</v>
      </c>
      <c r="V50" s="34">
        <v>3669.85</v>
      </c>
    </row>
    <row r="51" spans="21:22" x14ac:dyDescent="0.2">
      <c r="U51" s="33" t="s">
        <v>360</v>
      </c>
      <c r="V51" s="34">
        <v>739.93</v>
      </c>
    </row>
    <row r="52" spans="21:22" x14ac:dyDescent="0.2">
      <c r="U52" s="33" t="s">
        <v>167</v>
      </c>
      <c r="V52" s="34">
        <v>3509.9</v>
      </c>
    </row>
    <row r="53" spans="21:22" x14ac:dyDescent="0.2">
      <c r="U53" s="33" t="s">
        <v>347</v>
      </c>
      <c r="V53" s="34">
        <v>1749.92</v>
      </c>
    </row>
    <row r="54" spans="21:22" x14ac:dyDescent="0.2">
      <c r="U54" s="33" t="s">
        <v>335</v>
      </c>
      <c r="V54" s="34">
        <v>6349.83</v>
      </c>
    </row>
    <row r="55" spans="21:22" x14ac:dyDescent="0.2">
      <c r="U55" s="33" t="s">
        <v>255</v>
      </c>
      <c r="V55" s="34">
        <v>5499.81</v>
      </c>
    </row>
    <row r="56" spans="21:22" x14ac:dyDescent="0.2">
      <c r="U56" s="33" t="s">
        <v>251</v>
      </c>
      <c r="V56" s="34">
        <v>5619.87</v>
      </c>
    </row>
    <row r="57" spans="21:22" x14ac:dyDescent="0.2">
      <c r="U57" s="33" t="s">
        <v>239</v>
      </c>
      <c r="V57" s="34">
        <v>2649.83</v>
      </c>
    </row>
    <row r="58" spans="21:22" x14ac:dyDescent="0.2">
      <c r="U58" s="33" t="s">
        <v>174</v>
      </c>
      <c r="V58" s="34">
        <v>1979.89</v>
      </c>
    </row>
    <row r="59" spans="21:22" x14ac:dyDescent="0.2">
      <c r="U59" s="33" t="s">
        <v>198</v>
      </c>
      <c r="V59" s="34">
        <v>4789.79</v>
      </c>
    </row>
    <row r="60" spans="21:22" x14ac:dyDescent="0.2">
      <c r="U60" s="33" t="s">
        <v>353</v>
      </c>
      <c r="V60" s="36">
        <v>4749.91</v>
      </c>
    </row>
    <row r="61" spans="21:22" x14ac:dyDescent="0.2">
      <c r="U61" s="37" t="s">
        <v>77</v>
      </c>
      <c r="V61" s="38">
        <v>229192.47</v>
      </c>
    </row>
  </sheetData>
  <mergeCells count="7">
    <mergeCell ref="U4:V4"/>
    <mergeCell ref="Y4:AC4"/>
    <mergeCell ref="A4:B4"/>
    <mergeCell ref="E4:F4"/>
    <mergeCell ref="I4:J4"/>
    <mergeCell ref="M4:N4"/>
    <mergeCell ref="Q4:R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G36"/>
  <sheetViews>
    <sheetView showGridLines="0" zoomScaleNormal="100" workbookViewId="0">
      <selection activeCell="A36" sqref="A36:G36"/>
    </sheetView>
  </sheetViews>
  <sheetFormatPr baseColWidth="10" defaultColWidth="8.6640625" defaultRowHeight="15" x14ac:dyDescent="0.2"/>
  <cols>
    <col min="1" max="1" width="28" customWidth="1"/>
    <col min="2" max="7" width="16" customWidth="1"/>
  </cols>
  <sheetData>
    <row r="1" spans="1:7" ht="20" x14ac:dyDescent="0.2">
      <c r="A1" s="15" t="s">
        <v>605</v>
      </c>
    </row>
    <row r="2" spans="1:7" x14ac:dyDescent="0.2">
      <c r="A2" s="16"/>
    </row>
    <row r="3" spans="1:7" x14ac:dyDescent="0.2">
      <c r="A3" s="145" t="s">
        <v>606</v>
      </c>
      <c r="B3" s="145"/>
      <c r="C3" s="99"/>
      <c r="D3" s="99"/>
      <c r="E3" s="99"/>
      <c r="F3" s="99"/>
      <c r="G3" s="99"/>
    </row>
    <row r="4" spans="1:7" x14ac:dyDescent="0.2">
      <c r="A4" s="58" t="s">
        <v>607</v>
      </c>
      <c r="B4" s="100">
        <f>ABS(CORREL(Analysis!$E$90:$E$101,Analysis!$C$90:$C$101))</f>
        <v>0.14585330121169499</v>
      </c>
      <c r="C4" s="58"/>
      <c r="D4" s="58"/>
      <c r="E4" s="58"/>
      <c r="F4" s="58"/>
      <c r="G4" s="58"/>
    </row>
    <row r="5" spans="1:7" x14ac:dyDescent="0.2">
      <c r="A5" s="58" t="s">
        <v>608</v>
      </c>
      <c r="B5" s="100">
        <f>RSQ(Analysis!$E$90:$E$101,Analysis!$C$90:$C$101)</f>
        <v>2.1273185474349424E-2</v>
      </c>
      <c r="C5" s="58"/>
      <c r="D5" s="58"/>
      <c r="E5" s="58"/>
      <c r="F5" s="58"/>
      <c r="G5" s="58"/>
    </row>
    <row r="6" spans="1:7" x14ac:dyDescent="0.2">
      <c r="A6" s="58" t="s">
        <v>609</v>
      </c>
      <c r="B6" s="100">
        <f>1-(1-B5)*(B8-1)/(B8-2)</f>
        <v>-7.6599495978215693E-2</v>
      </c>
      <c r="C6" s="58"/>
      <c r="D6" s="58"/>
      <c r="E6" s="58"/>
      <c r="F6" s="58"/>
      <c r="G6" s="58"/>
    </row>
    <row r="7" spans="1:7" x14ac:dyDescent="0.2">
      <c r="A7" s="58" t="s">
        <v>610</v>
      </c>
      <c r="B7" s="75">
        <f>STEYX(Analysis!$E$90:$E$101,Analysis!$C$90:$C$101)</f>
        <v>4091.2421209288577</v>
      </c>
      <c r="C7" s="58"/>
      <c r="D7" s="58"/>
      <c r="E7" s="58"/>
      <c r="F7" s="58"/>
      <c r="G7" s="58"/>
    </row>
    <row r="8" spans="1:7" x14ac:dyDescent="0.2">
      <c r="A8" s="58" t="s">
        <v>611</v>
      </c>
      <c r="B8" s="101">
        <f>COUNT(Analysis!$E$90:$E$101)</f>
        <v>12</v>
      </c>
      <c r="C8" s="58"/>
      <c r="D8" s="58"/>
      <c r="E8" s="58"/>
      <c r="F8" s="58"/>
      <c r="G8" s="58"/>
    </row>
    <row r="9" spans="1:7" x14ac:dyDescent="0.2">
      <c r="A9" s="58"/>
      <c r="B9" s="58"/>
      <c r="C9" s="58"/>
      <c r="D9" s="58"/>
      <c r="E9" s="58"/>
      <c r="F9" s="58"/>
      <c r="G9" s="58"/>
    </row>
    <row r="10" spans="1:7" x14ac:dyDescent="0.2">
      <c r="A10" s="146" t="s">
        <v>612</v>
      </c>
      <c r="B10" s="146"/>
      <c r="C10" s="146"/>
      <c r="D10" s="146"/>
      <c r="E10" s="146"/>
      <c r="F10" s="146"/>
      <c r="G10" s="146"/>
    </row>
    <row r="11" spans="1:7" x14ac:dyDescent="0.2">
      <c r="A11" s="17"/>
      <c r="B11" s="17" t="s">
        <v>613</v>
      </c>
      <c r="C11" s="17" t="s">
        <v>614</v>
      </c>
      <c r="D11" s="17" t="s">
        <v>615</v>
      </c>
      <c r="E11" s="17" t="s">
        <v>616</v>
      </c>
      <c r="F11" s="17" t="s">
        <v>617</v>
      </c>
      <c r="G11" s="102"/>
    </row>
    <row r="12" spans="1:7" x14ac:dyDescent="0.2">
      <c r="A12" s="58" t="s">
        <v>618</v>
      </c>
      <c r="B12" s="58">
        <v>1</v>
      </c>
      <c r="C12" s="103">
        <f>INDEX(LINEST(Analysis!$E$90:$E$101,Analysis!$C$90:$C$101,TRUE(),TRUE()),5,1)</f>
        <v>3638156.7227755189</v>
      </c>
      <c r="D12" s="103">
        <f>C12/B12</f>
        <v>3638156.7227755189</v>
      </c>
      <c r="E12" s="100">
        <f>D12/D13</f>
        <v>0.21735570292574094</v>
      </c>
      <c r="F12" s="100">
        <f>FDIST(E12,B12,B13)</f>
        <v>0.65105213039581011</v>
      </c>
      <c r="G12" s="58"/>
    </row>
    <row r="13" spans="1:7" x14ac:dyDescent="0.2">
      <c r="A13" s="58" t="s">
        <v>619</v>
      </c>
      <c r="B13" s="58">
        <f>B8-2</f>
        <v>10</v>
      </c>
      <c r="C13" s="103">
        <f>INDEX(LINEST(Analysis!$E$90:$E$101,Analysis!$C$90:$C$101,TRUE(),TRUE()),5,2)</f>
        <v>167382620.92062458</v>
      </c>
      <c r="D13" s="103">
        <f>C13/B13</f>
        <v>16738262.092062458</v>
      </c>
      <c r="E13" s="58"/>
      <c r="F13" s="58"/>
      <c r="G13" s="58"/>
    </row>
    <row r="14" spans="1:7" x14ac:dyDescent="0.2">
      <c r="A14" s="58" t="s">
        <v>528</v>
      </c>
      <c r="B14" s="58">
        <f>B8-1</f>
        <v>11</v>
      </c>
      <c r="C14" s="103">
        <f>C12+C13</f>
        <v>171020777.6434001</v>
      </c>
      <c r="D14" s="103"/>
      <c r="E14" s="58"/>
      <c r="F14" s="58"/>
      <c r="G14" s="58"/>
    </row>
    <row r="15" spans="1:7" x14ac:dyDescent="0.2">
      <c r="A15" s="58"/>
      <c r="B15" s="58"/>
      <c r="C15" s="58"/>
      <c r="D15" s="58"/>
      <c r="E15" s="58"/>
      <c r="F15" s="58"/>
      <c r="G15" s="58"/>
    </row>
    <row r="16" spans="1:7" x14ac:dyDescent="0.2">
      <c r="A16" s="146" t="s">
        <v>620</v>
      </c>
      <c r="B16" s="146"/>
      <c r="C16" s="146"/>
      <c r="D16" s="146"/>
      <c r="E16" s="146"/>
      <c r="F16" s="146"/>
      <c r="G16" s="146"/>
    </row>
    <row r="17" spans="1:7" x14ac:dyDescent="0.2">
      <c r="A17" s="17"/>
      <c r="B17" s="17" t="s">
        <v>620</v>
      </c>
      <c r="C17" s="17" t="s">
        <v>610</v>
      </c>
      <c r="D17" s="17" t="s">
        <v>621</v>
      </c>
      <c r="E17" s="17" t="s">
        <v>622</v>
      </c>
      <c r="F17" s="17" t="s">
        <v>623</v>
      </c>
      <c r="G17" s="17" t="s">
        <v>624</v>
      </c>
    </row>
    <row r="18" spans="1:7" x14ac:dyDescent="0.2">
      <c r="A18" s="58" t="s">
        <v>551</v>
      </c>
      <c r="B18" s="104">
        <f>INDEX(LINEST(Analysis!$E$90:$E$101,Analysis!$C$90:$C$101,TRUE(),TRUE()),1,2)</f>
        <v>17480.941363636361</v>
      </c>
      <c r="C18" s="104">
        <f>INDEX(LINEST(Analysis!$E$90:$E$101,Analysis!$C$90:$C$101,TRUE(),TRUE()),2,2)</f>
        <v>2517.9854631129033</v>
      </c>
      <c r="D18" s="100">
        <f>B18/C18</f>
        <v>6.9424314078546123</v>
      </c>
      <c r="E18" s="100">
        <f>TDIST(ABS(D18),$B$13,2)</f>
        <v>3.9835381868410022E-5</v>
      </c>
      <c r="F18" s="104">
        <f>B18-TINV(0.05,$B$13)*C18</f>
        <v>11870.520124537848</v>
      </c>
      <c r="G18" s="104">
        <f>B18+TINV(0.05,$B$13)*C18</f>
        <v>23091.362602734873</v>
      </c>
    </row>
    <row r="19" spans="1:7" x14ac:dyDescent="0.2">
      <c r="A19" s="58" t="s">
        <v>625</v>
      </c>
      <c r="B19" s="104">
        <f>INDEX(LINEST(Analysis!$E$90:$E$101,Analysis!$C$90:$C$101,TRUE(),TRUE()),1,1)</f>
        <v>159.5044055944056</v>
      </c>
      <c r="C19" s="104">
        <f>INDEX(LINEST(Analysis!$E$90:$E$101,Analysis!$C$90:$C$101,TRUE(),TRUE()),2,1)</f>
        <v>342.12685346312213</v>
      </c>
      <c r="D19" s="100">
        <f>B19/C19</f>
        <v>0.46621422428508258</v>
      </c>
      <c r="E19" s="100">
        <f>TDIST(ABS(D19),$B$13,2)</f>
        <v>0.65105213039580989</v>
      </c>
      <c r="F19" s="104">
        <f>B19-TINV(0.05,$B$13)*C19</f>
        <v>-602.80172891459165</v>
      </c>
      <c r="G19" s="104">
        <f>B19+TINV(0.05,$B$13)*C19</f>
        <v>921.8105401034029</v>
      </c>
    </row>
    <row r="20" spans="1:7" x14ac:dyDescent="0.2">
      <c r="A20" s="58"/>
      <c r="B20" s="58"/>
      <c r="C20" s="58"/>
      <c r="D20" s="58"/>
      <c r="E20" s="58"/>
      <c r="F20" s="58"/>
      <c r="G20" s="58"/>
    </row>
    <row r="21" spans="1:7" x14ac:dyDescent="0.2">
      <c r="A21" s="146" t="s">
        <v>626</v>
      </c>
      <c r="B21" s="146"/>
      <c r="C21" s="146"/>
      <c r="D21" s="146"/>
      <c r="E21" s="105"/>
      <c r="F21" s="105"/>
      <c r="G21" s="105"/>
    </row>
    <row r="22" spans="1:7" ht="28" x14ac:dyDescent="0.2">
      <c r="A22" s="17" t="s">
        <v>627</v>
      </c>
      <c r="B22" s="17" t="s">
        <v>544</v>
      </c>
      <c r="C22" s="17" t="s">
        <v>628</v>
      </c>
      <c r="D22" s="17" t="s">
        <v>629</v>
      </c>
      <c r="E22" s="102"/>
      <c r="F22" s="102"/>
      <c r="G22" s="102"/>
    </row>
    <row r="23" spans="1:7" x14ac:dyDescent="0.2">
      <c r="A23" s="58">
        <v>1</v>
      </c>
      <c r="B23" s="58" t="str">
        <f>Analysis!B90</f>
        <v>Apr-24</v>
      </c>
      <c r="C23" s="75">
        <f>$B$18+$B$19*Analysis!C90</f>
        <v>17640.445769230766</v>
      </c>
      <c r="D23" s="75">
        <f>Analysis!E90-C23</f>
        <v>3278.8842307692357</v>
      </c>
      <c r="E23" s="58"/>
      <c r="F23" s="58"/>
      <c r="G23" s="58"/>
    </row>
    <row r="24" spans="1:7" x14ac:dyDescent="0.2">
      <c r="A24" s="58">
        <v>2</v>
      </c>
      <c r="B24" s="58" t="str">
        <f>Analysis!B91</f>
        <v>May-24</v>
      </c>
      <c r="C24" s="75">
        <f>$B$18+$B$19*Analysis!C91</f>
        <v>17799.950174825171</v>
      </c>
      <c r="D24" s="75">
        <f>Analysis!E91-C24</f>
        <v>-760.60017482517287</v>
      </c>
      <c r="E24" s="58"/>
      <c r="F24" s="58"/>
      <c r="G24" s="58"/>
    </row>
    <row r="25" spans="1:7" x14ac:dyDescent="0.2">
      <c r="A25" s="58">
        <v>3</v>
      </c>
      <c r="B25" s="58" t="str">
        <f>Analysis!B92</f>
        <v>Jun-24</v>
      </c>
      <c r="C25" s="75">
        <f>$B$18+$B$19*Analysis!C92</f>
        <v>17959.454580419577</v>
      </c>
      <c r="D25" s="75">
        <f>Analysis!E92-C25</f>
        <v>1339.9954195804239</v>
      </c>
      <c r="E25" s="58"/>
      <c r="F25" s="58"/>
      <c r="G25" s="58"/>
    </row>
    <row r="26" spans="1:7" x14ac:dyDescent="0.2">
      <c r="A26" s="58">
        <v>4</v>
      </c>
      <c r="B26" s="58" t="str">
        <f>Analysis!B93</f>
        <v>Jul-24</v>
      </c>
      <c r="C26" s="75">
        <f>$B$18+$B$19*Analysis!C93</f>
        <v>18118.958986013982</v>
      </c>
      <c r="D26" s="75">
        <f>Analysis!E93-C26</f>
        <v>360.44101398601197</v>
      </c>
      <c r="E26" s="58"/>
      <c r="F26" s="58"/>
      <c r="G26" s="58"/>
    </row>
    <row r="27" spans="1:7" x14ac:dyDescent="0.2">
      <c r="A27" s="58">
        <v>5</v>
      </c>
      <c r="B27" s="58" t="str">
        <f>Analysis!B94</f>
        <v>Aug-24</v>
      </c>
      <c r="C27" s="75">
        <f>$B$18+$B$19*Analysis!C94</f>
        <v>18278.463391608388</v>
      </c>
      <c r="D27" s="75">
        <f>Analysis!E94-C27</f>
        <v>-2519.033391608391</v>
      </c>
      <c r="E27" s="58"/>
      <c r="F27" s="58"/>
      <c r="G27" s="58"/>
    </row>
    <row r="28" spans="1:7" x14ac:dyDescent="0.2">
      <c r="A28" s="58">
        <v>6</v>
      </c>
      <c r="B28" s="58" t="str">
        <f>Analysis!B95</f>
        <v>Sep-24</v>
      </c>
      <c r="C28" s="75">
        <f>$B$18+$B$19*Analysis!C95</f>
        <v>18437.967797202793</v>
      </c>
      <c r="D28" s="75">
        <f>Analysis!E95-C28</f>
        <v>-5448.4577972027964</v>
      </c>
      <c r="E28" s="58"/>
      <c r="F28" s="58"/>
      <c r="G28" s="58"/>
    </row>
    <row r="29" spans="1:7" x14ac:dyDescent="0.2">
      <c r="A29" s="58">
        <v>7</v>
      </c>
      <c r="B29" s="58" t="str">
        <f>Analysis!B96</f>
        <v>Oct-24</v>
      </c>
      <c r="C29" s="75">
        <f>$B$18+$B$19*Analysis!C96</f>
        <v>18597.472202797198</v>
      </c>
      <c r="D29" s="75">
        <f>Analysis!E96-C29</f>
        <v>2012.047797202802</v>
      </c>
      <c r="E29" s="58"/>
      <c r="F29" s="58"/>
      <c r="G29" s="58"/>
    </row>
    <row r="30" spans="1:7" x14ac:dyDescent="0.2">
      <c r="A30" s="58">
        <v>8</v>
      </c>
      <c r="B30" s="58" t="str">
        <f>Analysis!B97</f>
        <v>Nov-24</v>
      </c>
      <c r="C30" s="75">
        <f>$B$18+$B$19*Analysis!C97</f>
        <v>18756.976608391604</v>
      </c>
      <c r="D30" s="75">
        <f>Analysis!E97-C30</f>
        <v>-6447.5366083916051</v>
      </c>
      <c r="E30" s="58"/>
      <c r="F30" s="58"/>
      <c r="G30" s="58"/>
    </row>
    <row r="31" spans="1:7" x14ac:dyDescent="0.2">
      <c r="A31" s="58">
        <v>9</v>
      </c>
      <c r="B31" s="58" t="str">
        <f>Analysis!B98</f>
        <v>Dec-24</v>
      </c>
      <c r="C31" s="75">
        <f>$B$18+$B$19*Analysis!C98</f>
        <v>18916.481013986013</v>
      </c>
      <c r="D31" s="75">
        <f>Analysis!E98-C31</f>
        <v>4122.8189860139864</v>
      </c>
      <c r="E31" s="58"/>
      <c r="F31" s="58"/>
      <c r="G31" s="58"/>
    </row>
    <row r="32" spans="1:7" x14ac:dyDescent="0.2">
      <c r="A32" s="58">
        <v>10</v>
      </c>
      <c r="B32" s="58" t="str">
        <f>Analysis!B99</f>
        <v>Jan-25</v>
      </c>
      <c r="C32" s="75">
        <f>$B$18+$B$19*Analysis!C99</f>
        <v>19075.985419580418</v>
      </c>
      <c r="D32" s="75">
        <f>Analysis!E99-C32</f>
        <v>6723.1645804195832</v>
      </c>
      <c r="E32" s="58"/>
      <c r="F32" s="58"/>
      <c r="G32" s="58"/>
    </row>
    <row r="33" spans="1:7" x14ac:dyDescent="0.2">
      <c r="A33" s="58">
        <v>11</v>
      </c>
      <c r="B33" s="58" t="str">
        <f>Analysis!B100</f>
        <v>Feb-25</v>
      </c>
      <c r="C33" s="75">
        <f>$B$18+$B$19*Analysis!C100</f>
        <v>19235.489825174824</v>
      </c>
      <c r="D33" s="75">
        <f>Analysis!E100-C33</f>
        <v>-3166.1098251748263</v>
      </c>
      <c r="E33" s="58"/>
      <c r="F33" s="58"/>
      <c r="G33" s="58"/>
    </row>
    <row r="34" spans="1:7" x14ac:dyDescent="0.2">
      <c r="A34" s="58">
        <v>12</v>
      </c>
      <c r="B34" s="58" t="str">
        <f>Analysis!B101</f>
        <v>Mar-25</v>
      </c>
      <c r="C34" s="75">
        <f>$B$18+$B$19*Analysis!C101</f>
        <v>19394.994230769229</v>
      </c>
      <c r="D34" s="75">
        <f>Analysis!E101-C34</f>
        <v>504.38576923076835</v>
      </c>
      <c r="E34" s="58"/>
      <c r="F34" s="58"/>
      <c r="G34" s="58"/>
    </row>
    <row r="36" spans="1:7" ht="54" customHeight="1" x14ac:dyDescent="0.2"/>
  </sheetData>
  <mergeCells count="4">
    <mergeCell ref="A3:B3"/>
    <mergeCell ref="A10:G10"/>
    <mergeCell ref="A16:G16"/>
    <mergeCell ref="A21:D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E19"/>
  <sheetViews>
    <sheetView showGridLines="0" zoomScaleNormal="100" workbookViewId="0">
      <selection activeCell="E2" sqref="A2:E2"/>
    </sheetView>
  </sheetViews>
  <sheetFormatPr baseColWidth="10" defaultColWidth="8.6640625" defaultRowHeight="15" x14ac:dyDescent="0.2"/>
  <cols>
    <col min="1" max="1" width="52" customWidth="1"/>
    <col min="2" max="5" width="16" customWidth="1"/>
  </cols>
  <sheetData>
    <row r="1" spans="1:5" ht="20" x14ac:dyDescent="0.2">
      <c r="A1" s="15" t="s">
        <v>630</v>
      </c>
    </row>
    <row r="2" spans="1:5" x14ac:dyDescent="0.2">
      <c r="A2" s="16"/>
    </row>
    <row r="4" spans="1:5" x14ac:dyDescent="0.2">
      <c r="A4" s="17"/>
      <c r="B4" s="17" t="s">
        <v>631</v>
      </c>
      <c r="C4" s="17" t="s">
        <v>632</v>
      </c>
      <c r="D4" s="17" t="s">
        <v>564</v>
      </c>
      <c r="E4" s="17" t="s">
        <v>565</v>
      </c>
    </row>
    <row r="5" spans="1:5" x14ac:dyDescent="0.2">
      <c r="A5" s="61" t="s">
        <v>633</v>
      </c>
      <c r="B5" s="58"/>
      <c r="C5" s="58"/>
      <c r="D5" s="58"/>
      <c r="E5" s="58"/>
    </row>
    <row r="6" spans="1:5" x14ac:dyDescent="0.2">
      <c r="A6" s="58" t="s">
        <v>634</v>
      </c>
      <c r="B6" s="60">
        <f>Analysis!B120</f>
        <v>0</v>
      </c>
      <c r="C6" s="60">
        <f>Analysis!C120</f>
        <v>0</v>
      </c>
      <c r="D6" s="60">
        <f>Analysis!D120</f>
        <v>0.05</v>
      </c>
      <c r="E6" s="60">
        <f>Analysis!E120</f>
        <v>-0.03</v>
      </c>
    </row>
    <row r="7" spans="1:5" x14ac:dyDescent="0.2">
      <c r="A7" s="58" t="s">
        <v>635</v>
      </c>
      <c r="B7" s="60">
        <f>Analysis!B121</f>
        <v>0</v>
      </c>
      <c r="C7" s="60">
        <f>Analysis!C121</f>
        <v>0</v>
      </c>
      <c r="D7" s="60">
        <f>Analysis!D121</f>
        <v>0.1</v>
      </c>
      <c r="E7" s="60">
        <f>Analysis!E121</f>
        <v>-0.08</v>
      </c>
    </row>
    <row r="8" spans="1:5" x14ac:dyDescent="0.2">
      <c r="A8" s="58" t="s">
        <v>636</v>
      </c>
      <c r="B8" s="60">
        <f>Analysis!B122</f>
        <v>0</v>
      </c>
      <c r="C8" s="60">
        <f>Analysis!C122</f>
        <v>0</v>
      </c>
      <c r="D8" s="60">
        <f>Analysis!D122</f>
        <v>0</v>
      </c>
      <c r="E8" s="60">
        <f>Analysis!E122</f>
        <v>0.05</v>
      </c>
    </row>
    <row r="9" spans="1:5" x14ac:dyDescent="0.2">
      <c r="A9" s="61" t="s">
        <v>637</v>
      </c>
      <c r="B9" s="58"/>
      <c r="C9" s="58"/>
      <c r="D9" s="58"/>
      <c r="E9" s="58"/>
    </row>
    <row r="10" spans="1:5" x14ac:dyDescent="0.2">
      <c r="A10" s="58" t="s">
        <v>638</v>
      </c>
      <c r="B10" s="62">
        <f>Analysis!B124</f>
        <v>229192.47000000032</v>
      </c>
      <c r="C10" s="62">
        <f>Analysis!C124</f>
        <v>229192.47000000032</v>
      </c>
      <c r="D10" s="62">
        <f>Analysis!D124</f>
        <v>264717.30285000039</v>
      </c>
      <c r="E10" s="62">
        <f>Analysis!E124</f>
        <v>194304.79221660027</v>
      </c>
    </row>
    <row r="11" spans="1:5" x14ac:dyDescent="0.2">
      <c r="A11" s="58" t="s">
        <v>639</v>
      </c>
      <c r="B11" s="106">
        <f>Analysis!B125</f>
        <v>0</v>
      </c>
      <c r="C11" s="106">
        <f>Analysis!C125</f>
        <v>0</v>
      </c>
      <c r="D11" s="106">
        <f>Analysis!D125</f>
        <v>0.15500000000000003</v>
      </c>
      <c r="E11" s="106">
        <f>Analysis!E125</f>
        <v>-0.15222000000000002</v>
      </c>
    </row>
    <row r="14" spans="1:5" x14ac:dyDescent="0.2">
      <c r="A14" s="46" t="s">
        <v>640</v>
      </c>
      <c r="B14" s="47"/>
      <c r="C14" s="47"/>
      <c r="D14" s="47"/>
      <c r="E14" s="47"/>
    </row>
    <row r="15" spans="1:5" x14ac:dyDescent="0.2">
      <c r="A15" s="107" t="s">
        <v>641</v>
      </c>
      <c r="B15" s="63">
        <f>Analysis!B127</f>
        <v>0.2</v>
      </c>
    </row>
    <row r="16" spans="1:5" x14ac:dyDescent="0.2">
      <c r="A16" s="107" t="s">
        <v>573</v>
      </c>
      <c r="B16" s="62">
        <f>Analysis!B128</f>
        <v>275030.96400000039</v>
      </c>
    </row>
    <row r="17" spans="1:2" ht="42" customHeight="1" x14ac:dyDescent="0.2">
      <c r="A17" s="107" t="s">
        <v>642</v>
      </c>
      <c r="B17" s="108">
        <f>Analysis!B129</f>
        <v>0.19999999999999996</v>
      </c>
    </row>
    <row r="18" spans="1:2" x14ac:dyDescent="0.2">
      <c r="A18" s="107" t="s">
        <v>643</v>
      </c>
      <c r="B18" s="62">
        <f>Analysis!B123*(1+B17)*(1+Analysis!B121)*(1-Analysis!B122)</f>
        <v>275030.96400000039</v>
      </c>
    </row>
    <row r="19" spans="1:2" x14ac:dyDescent="0.2">
      <c r="A19" s="107" t="s">
        <v>644</v>
      </c>
      <c r="B19" s="109">
        <f>ROUND(B18-B16,2)</f>
        <v>0</v>
      </c>
    </row>
  </sheetData>
  <conditionalFormatting sqref="C11:E11">
    <cfRule type="iconSet" priority="2">
      <iconSet iconSet="3Arrows">
        <cfvo type="num" val="-100"/>
        <cfvo type="num" val="-1E-4"/>
        <cfvo type="num" val="1E-4"/>
      </iconSet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DC3E6"/>
  </sheetPr>
  <dimension ref="A1:Q38"/>
  <sheetViews>
    <sheetView showGridLines="0" zoomScaleNormal="100" workbookViewId="0"/>
  </sheetViews>
  <sheetFormatPr baseColWidth="10" defaultColWidth="8.6640625" defaultRowHeight="15" x14ac:dyDescent="0.2"/>
  <sheetData>
    <row r="1" spans="1:17" ht="20" x14ac:dyDescent="0.2">
      <c r="A1" s="15" t="s">
        <v>645</v>
      </c>
    </row>
    <row r="2" spans="1:17" x14ac:dyDescent="0.2">
      <c r="A2" s="16" t="s">
        <v>646</v>
      </c>
    </row>
    <row r="4" spans="1:17" x14ac:dyDescent="0.2">
      <c r="A4" s="122" t="s">
        <v>24</v>
      </c>
      <c r="B4" s="122"/>
      <c r="C4" s="122"/>
      <c r="D4" s="122"/>
      <c r="E4" s="122"/>
      <c r="F4" s="122"/>
      <c r="G4" s="122"/>
      <c r="H4" s="122"/>
      <c r="J4" s="122" t="s">
        <v>23</v>
      </c>
      <c r="K4" s="122"/>
      <c r="L4" s="122"/>
      <c r="M4" s="122"/>
      <c r="N4" s="122"/>
      <c r="O4" s="122"/>
      <c r="P4" s="122"/>
      <c r="Q4" s="122"/>
    </row>
    <row r="21" spans="1:17" x14ac:dyDescent="0.2">
      <c r="A21" s="122" t="s">
        <v>647</v>
      </c>
      <c r="B21" s="122"/>
      <c r="C21" s="122"/>
      <c r="D21" s="122"/>
      <c r="E21" s="122"/>
      <c r="F21" s="122"/>
      <c r="G21" s="122"/>
      <c r="H21" s="122"/>
      <c r="J21" s="122" t="s">
        <v>51</v>
      </c>
      <c r="K21" s="122"/>
      <c r="L21" s="122"/>
      <c r="M21" s="122"/>
      <c r="N21" s="122"/>
      <c r="O21" s="122"/>
      <c r="P21" s="122"/>
      <c r="Q21" s="122"/>
    </row>
    <row r="38" spans="1:8" x14ac:dyDescent="0.2">
      <c r="A38" s="122" t="s">
        <v>27</v>
      </c>
      <c r="B38" s="122"/>
      <c r="C38" s="122"/>
      <c r="D38" s="122"/>
      <c r="E38" s="122"/>
      <c r="F38" s="122"/>
      <c r="G38" s="122"/>
      <c r="H38" s="122"/>
    </row>
  </sheetData>
  <mergeCells count="5">
    <mergeCell ref="A4:H4"/>
    <mergeCell ref="J4:Q4"/>
    <mergeCell ref="A21:H21"/>
    <mergeCell ref="J21:Q21"/>
    <mergeCell ref="A38:H3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G75"/>
  <sheetViews>
    <sheetView tabSelected="1" zoomScaleNormal="100" workbookViewId="0">
      <selection activeCell="B5" sqref="B5"/>
    </sheetView>
  </sheetViews>
  <sheetFormatPr baseColWidth="10" defaultColWidth="8.6640625" defaultRowHeight="15" x14ac:dyDescent="0.2"/>
  <cols>
    <col min="1" max="1" width="26" customWidth="1"/>
    <col min="2" max="2" width="16" customWidth="1"/>
    <col min="3" max="3" width="10" customWidth="1"/>
    <col min="4" max="4" width="12" customWidth="1"/>
    <col min="5" max="5" width="8" customWidth="1"/>
    <col min="6" max="6" width="18" customWidth="1"/>
    <col min="7" max="7" width="16" customWidth="1"/>
  </cols>
  <sheetData>
    <row r="1" spans="1:4" ht="20" x14ac:dyDescent="0.2">
      <c r="A1" s="15"/>
    </row>
    <row r="2" spans="1:4" x14ac:dyDescent="0.2">
      <c r="A2" s="17" t="s">
        <v>648</v>
      </c>
      <c r="B2" s="17" t="s">
        <v>649</v>
      </c>
      <c r="C2" s="17" t="s">
        <v>650</v>
      </c>
      <c r="D2" s="17" t="s">
        <v>651</v>
      </c>
    </row>
    <row r="3" spans="1:4" x14ac:dyDescent="0.2">
      <c r="A3" s="110" t="s">
        <v>15</v>
      </c>
      <c r="B3" s="110" t="s">
        <v>15</v>
      </c>
      <c r="C3" s="110" t="s">
        <v>15</v>
      </c>
      <c r="D3" s="110" t="s">
        <v>15</v>
      </c>
    </row>
    <row r="4" spans="1:4" x14ac:dyDescent="0.2">
      <c r="A4" s="110" t="s">
        <v>61</v>
      </c>
      <c r="B4" s="110" t="s">
        <v>62</v>
      </c>
      <c r="C4" s="110" t="s">
        <v>63</v>
      </c>
      <c r="D4" s="110" t="s">
        <v>140</v>
      </c>
    </row>
    <row r="5" spans="1:4" x14ac:dyDescent="0.2">
      <c r="A5" s="110" t="s">
        <v>66</v>
      </c>
      <c r="B5" s="110" t="s">
        <v>67</v>
      </c>
      <c r="C5" s="110" t="s">
        <v>68</v>
      </c>
      <c r="D5" s="110" t="s">
        <v>144</v>
      </c>
    </row>
    <row r="6" spans="1:4" x14ac:dyDescent="0.2">
      <c r="A6" s="110" t="s">
        <v>71</v>
      </c>
      <c r="B6" s="110" t="s">
        <v>72</v>
      </c>
      <c r="C6" s="110" t="s">
        <v>73</v>
      </c>
      <c r="D6" s="110" t="s">
        <v>149</v>
      </c>
    </row>
    <row r="7" spans="1:4" x14ac:dyDescent="0.2">
      <c r="A7" s="110" t="s">
        <v>76</v>
      </c>
      <c r="C7" s="110" t="s">
        <v>78</v>
      </c>
    </row>
    <row r="8" spans="1:4" x14ac:dyDescent="0.2">
      <c r="A8" s="110" t="s">
        <v>81</v>
      </c>
    </row>
    <row r="9" spans="1:4" x14ac:dyDescent="0.2">
      <c r="A9" s="19" t="s">
        <v>652</v>
      </c>
    </row>
    <row r="10" spans="1:4" x14ac:dyDescent="0.2">
      <c r="A10" s="110" t="s">
        <v>55</v>
      </c>
      <c r="B10" s="110" t="str">
        <f>IF(Dashboard!$B$11="All","*",Dashboard!$B$11)</f>
        <v>*</v>
      </c>
    </row>
    <row r="11" spans="1:4" x14ac:dyDescent="0.2">
      <c r="A11" s="110" t="s">
        <v>53</v>
      </c>
      <c r="B11" s="110" t="str">
        <f>IF(Dashboard!$E$11="All","*",Dashboard!$E$11)</f>
        <v>*</v>
      </c>
    </row>
    <row r="12" spans="1:4" x14ac:dyDescent="0.2">
      <c r="A12" s="110" t="s">
        <v>650</v>
      </c>
      <c r="B12" s="110" t="str">
        <f>IF(Dashboard!$H$11="All","*",Dashboard!$H$11)</f>
        <v>*</v>
      </c>
    </row>
    <row r="13" spans="1:4" x14ac:dyDescent="0.2">
      <c r="A13" s="110" t="s">
        <v>542</v>
      </c>
      <c r="B13" s="110" t="str">
        <f>IF(Dashboard!$K$11="All","*",Dashboard!$K$11)</f>
        <v>*</v>
      </c>
    </row>
    <row r="14" spans="1:4" x14ac:dyDescent="0.2">
      <c r="A14" s="110" t="s">
        <v>653</v>
      </c>
      <c r="B14" s="111">
        <f>Dashboard!$N$11</f>
        <v>45383</v>
      </c>
    </row>
    <row r="15" spans="1:4" x14ac:dyDescent="0.2">
      <c r="A15" s="110" t="s">
        <v>654</v>
      </c>
      <c r="B15" s="111">
        <f>Dashboard!$Q$11</f>
        <v>45777</v>
      </c>
    </row>
    <row r="19" spans="1:4" x14ac:dyDescent="0.2">
      <c r="A19" s="17" t="s">
        <v>544</v>
      </c>
      <c r="B19" s="17" t="s">
        <v>126</v>
      </c>
      <c r="C19" s="17" t="s">
        <v>525</v>
      </c>
      <c r="D19" s="17" t="s">
        <v>39</v>
      </c>
    </row>
    <row r="20" spans="1:4" x14ac:dyDescent="0.2">
      <c r="A20" s="110" t="str">
        <f>Analysis!B90</f>
        <v>Apr-24</v>
      </c>
      <c r="B20" s="111">
        <f>Analysis!A90</f>
        <v>45412</v>
      </c>
      <c r="C20" s="70">
        <f>SUMIFS('Raw Data'!$N$2:$N$251,'Raw Data'!$K$2:$K$251,$B$10,'Raw Data'!$G$2:$G$251,$B$11,'Raw Data'!$J$2:$J$251,$B$12,'Raw Data'!$L$2:$L$251,$B$13,'Raw Data'!$B$2:$B$251,"&gt;="&amp;$B$14,'Raw Data'!$B$2:$B$251,"&lt;="&amp;$B$15,'Raw Data'!$P$2:$P$251,B20)</f>
        <v>20919.330000000002</v>
      </c>
      <c r="D20" s="110">
        <f>COUNTIFS('Raw Data'!$K$2:$K$251,$B$10,'Raw Data'!$G$2:$G$251,$B$11,'Raw Data'!$J$2:$J$251,$B$12,'Raw Data'!$L$2:$L$251,$B$13,'Raw Data'!$B$2:$B$251,"&gt;="&amp;$B$14,'Raw Data'!$B$2:$B$251,"&lt;="&amp;$B$15,'Raw Data'!$P$2:$P$251,B20)</f>
        <v>21</v>
      </c>
    </row>
    <row r="21" spans="1:4" x14ac:dyDescent="0.2">
      <c r="A21" s="110" t="str">
        <f>Analysis!B91</f>
        <v>May-24</v>
      </c>
      <c r="B21" s="111">
        <f>Analysis!A91</f>
        <v>45443</v>
      </c>
      <c r="C21" s="70">
        <f>SUMIFS('Raw Data'!$N$2:$N$251,'Raw Data'!$K$2:$K$251,$B$10,'Raw Data'!$G$2:$G$251,$B$11,'Raw Data'!$J$2:$J$251,$B$12,'Raw Data'!$L$2:$L$251,$B$13,'Raw Data'!$B$2:$B$251,"&gt;="&amp;$B$14,'Raw Data'!$B$2:$B$251,"&lt;="&amp;$B$15,'Raw Data'!$P$2:$P$251,B21)</f>
        <v>17039.349999999999</v>
      </c>
      <c r="D21" s="110">
        <f>COUNTIFS('Raw Data'!$K$2:$K$251,$B$10,'Raw Data'!$G$2:$G$251,$B$11,'Raw Data'!$J$2:$J$251,$B$12,'Raw Data'!$L$2:$L$251,$B$13,'Raw Data'!$B$2:$B$251,"&gt;="&amp;$B$14,'Raw Data'!$B$2:$B$251,"&lt;="&amp;$B$15,'Raw Data'!$P$2:$P$251,B21)</f>
        <v>19</v>
      </c>
    </row>
    <row r="22" spans="1:4" x14ac:dyDescent="0.2">
      <c r="A22" s="110" t="str">
        <f>Analysis!B92</f>
        <v>Jun-24</v>
      </c>
      <c r="B22" s="111">
        <f>Analysis!A92</f>
        <v>45473</v>
      </c>
      <c r="C22" s="70">
        <f>SUMIFS('Raw Data'!$N$2:$N$251,'Raw Data'!$K$2:$K$251,$B$10,'Raw Data'!$G$2:$G$251,$B$11,'Raw Data'!$J$2:$J$251,$B$12,'Raw Data'!$L$2:$L$251,$B$13,'Raw Data'!$B$2:$B$251,"&gt;="&amp;$B$14,'Raw Data'!$B$2:$B$251,"&lt;="&amp;$B$15,'Raw Data'!$P$2:$P$251,B22)</f>
        <v>19299.45</v>
      </c>
      <c r="D22" s="110">
        <f>COUNTIFS('Raw Data'!$K$2:$K$251,$B$10,'Raw Data'!$G$2:$G$251,$B$11,'Raw Data'!$J$2:$J$251,$B$12,'Raw Data'!$L$2:$L$251,$B$13,'Raw Data'!$B$2:$B$251,"&gt;="&amp;$B$14,'Raw Data'!$B$2:$B$251,"&lt;="&amp;$B$15,'Raw Data'!$P$2:$P$251,B22)</f>
        <v>19</v>
      </c>
    </row>
    <row r="23" spans="1:4" x14ac:dyDescent="0.2">
      <c r="A23" s="110" t="str">
        <f>Analysis!B93</f>
        <v>Jul-24</v>
      </c>
      <c r="B23" s="111">
        <f>Analysis!A93</f>
        <v>45504</v>
      </c>
      <c r="C23" s="70">
        <f>SUMIFS('Raw Data'!$N$2:$N$251,'Raw Data'!$K$2:$K$251,$B$10,'Raw Data'!$G$2:$G$251,$B$11,'Raw Data'!$J$2:$J$251,$B$12,'Raw Data'!$L$2:$L$251,$B$13,'Raw Data'!$B$2:$B$251,"&gt;="&amp;$B$14,'Raw Data'!$B$2:$B$251,"&lt;="&amp;$B$15,'Raw Data'!$P$2:$P$251,B23)</f>
        <v>18479.399999999994</v>
      </c>
      <c r="D23" s="110">
        <f>COUNTIFS('Raw Data'!$K$2:$K$251,$B$10,'Raw Data'!$G$2:$G$251,$B$11,'Raw Data'!$J$2:$J$251,$B$12,'Raw Data'!$L$2:$L$251,$B$13,'Raw Data'!$B$2:$B$251,"&gt;="&amp;$B$14,'Raw Data'!$B$2:$B$251,"&lt;="&amp;$B$15,'Raw Data'!$P$2:$P$251,B23)</f>
        <v>24</v>
      </c>
    </row>
    <row r="24" spans="1:4" x14ac:dyDescent="0.2">
      <c r="A24" s="110" t="str">
        <f>Analysis!B94</f>
        <v>Aug-24</v>
      </c>
      <c r="B24" s="111">
        <f>Analysis!A94</f>
        <v>45535</v>
      </c>
      <c r="C24" s="70">
        <f>SUMIFS('Raw Data'!$N$2:$N$251,'Raw Data'!$K$2:$K$251,$B$10,'Raw Data'!$G$2:$G$251,$B$11,'Raw Data'!$J$2:$J$251,$B$12,'Raw Data'!$L$2:$L$251,$B$13,'Raw Data'!$B$2:$B$251,"&gt;="&amp;$B$14,'Raw Data'!$B$2:$B$251,"&lt;="&amp;$B$15,'Raw Data'!$P$2:$P$251,B24)</f>
        <v>15759.429999999997</v>
      </c>
      <c r="D24" s="110">
        <f>COUNTIFS('Raw Data'!$K$2:$K$251,$B$10,'Raw Data'!$G$2:$G$251,$B$11,'Raw Data'!$J$2:$J$251,$B$12,'Raw Data'!$L$2:$L$251,$B$13,'Raw Data'!$B$2:$B$251,"&gt;="&amp;$B$14,'Raw Data'!$B$2:$B$251,"&lt;="&amp;$B$15,'Raw Data'!$P$2:$P$251,B24)</f>
        <v>18</v>
      </c>
    </row>
    <row r="25" spans="1:4" x14ac:dyDescent="0.2">
      <c r="A25" s="110" t="str">
        <f>Analysis!B95</f>
        <v>Sep-24</v>
      </c>
      <c r="B25" s="111">
        <f>Analysis!A95</f>
        <v>45565</v>
      </c>
      <c r="C25" s="70">
        <f>SUMIFS('Raw Data'!$N$2:$N$251,'Raw Data'!$K$2:$K$251,$B$10,'Raw Data'!$G$2:$G$251,$B$11,'Raw Data'!$J$2:$J$251,$B$12,'Raw Data'!$L$2:$L$251,$B$13,'Raw Data'!$B$2:$B$251,"&gt;="&amp;$B$14,'Raw Data'!$B$2:$B$251,"&lt;="&amp;$B$15,'Raw Data'!$P$2:$P$251,B25)</f>
        <v>12989.509999999997</v>
      </c>
      <c r="D25" s="110">
        <f>COUNTIFS('Raw Data'!$K$2:$K$251,$B$10,'Raw Data'!$G$2:$G$251,$B$11,'Raw Data'!$J$2:$J$251,$B$12,'Raw Data'!$L$2:$L$251,$B$13,'Raw Data'!$B$2:$B$251,"&gt;="&amp;$B$14,'Raw Data'!$B$2:$B$251,"&lt;="&amp;$B$15,'Raw Data'!$P$2:$P$251,B25)</f>
        <v>19</v>
      </c>
    </row>
    <row r="26" spans="1:4" x14ac:dyDescent="0.2">
      <c r="A26" s="110" t="str">
        <f>Analysis!B96</f>
        <v>Oct-24</v>
      </c>
      <c r="B26" s="111">
        <f>Analysis!A96</f>
        <v>45596</v>
      </c>
      <c r="C26" s="70">
        <f>SUMIFS('Raw Data'!$N$2:$N$251,'Raw Data'!$K$2:$K$251,$B$10,'Raw Data'!$G$2:$G$251,$B$11,'Raw Data'!$J$2:$J$251,$B$12,'Raw Data'!$L$2:$L$251,$B$13,'Raw Data'!$B$2:$B$251,"&gt;="&amp;$B$14,'Raw Data'!$B$2:$B$251,"&lt;="&amp;$B$15,'Raw Data'!$P$2:$P$251,B26)</f>
        <v>20609.52</v>
      </c>
      <c r="D26" s="110">
        <f>COUNTIFS('Raw Data'!$K$2:$K$251,$B$10,'Raw Data'!$G$2:$G$251,$B$11,'Raw Data'!$J$2:$J$251,$B$12,'Raw Data'!$L$2:$L$251,$B$13,'Raw Data'!$B$2:$B$251,"&gt;="&amp;$B$14,'Raw Data'!$B$2:$B$251,"&lt;="&amp;$B$15,'Raw Data'!$P$2:$P$251,B26)</f>
        <v>16</v>
      </c>
    </row>
    <row r="27" spans="1:4" x14ac:dyDescent="0.2">
      <c r="A27" s="110" t="str">
        <f>Analysis!B97</f>
        <v>Nov-24</v>
      </c>
      <c r="B27" s="111">
        <f>Analysis!A97</f>
        <v>45626</v>
      </c>
      <c r="C27" s="70">
        <f>SUMIFS('Raw Data'!$N$2:$N$251,'Raw Data'!$K$2:$K$251,$B$10,'Raw Data'!$G$2:$G$251,$B$11,'Raw Data'!$J$2:$J$251,$B$12,'Raw Data'!$L$2:$L$251,$B$13,'Raw Data'!$B$2:$B$251,"&gt;="&amp;$B$14,'Raw Data'!$B$2:$B$251,"&lt;="&amp;$B$15,'Raw Data'!$P$2:$P$251,B27)</f>
        <v>12309.439999999999</v>
      </c>
      <c r="D27" s="110">
        <f>COUNTIFS('Raw Data'!$K$2:$K$251,$B$10,'Raw Data'!$G$2:$G$251,$B$11,'Raw Data'!$J$2:$J$251,$B$12,'Raw Data'!$L$2:$L$251,$B$13,'Raw Data'!$B$2:$B$251,"&gt;="&amp;$B$14,'Raw Data'!$B$2:$B$251,"&lt;="&amp;$B$15,'Raw Data'!$P$2:$P$251,B27)</f>
        <v>17</v>
      </c>
    </row>
    <row r="28" spans="1:4" x14ac:dyDescent="0.2">
      <c r="A28" s="110" t="str">
        <f>Analysis!B98</f>
        <v>Dec-24</v>
      </c>
      <c r="B28" s="111">
        <f>Analysis!A98</f>
        <v>45657</v>
      </c>
      <c r="C28" s="70">
        <f>SUMIFS('Raw Data'!$N$2:$N$251,'Raw Data'!$K$2:$K$251,$B$10,'Raw Data'!$G$2:$G$251,$B$11,'Raw Data'!$J$2:$J$251,$B$12,'Raw Data'!$L$2:$L$251,$B$13,'Raw Data'!$B$2:$B$251,"&gt;="&amp;$B$14,'Raw Data'!$B$2:$B$251,"&lt;="&amp;$B$15,'Raw Data'!$P$2:$P$251,B28)</f>
        <v>23039.3</v>
      </c>
      <c r="D28" s="110">
        <f>COUNTIFS('Raw Data'!$K$2:$K$251,$B$10,'Raw Data'!$G$2:$G$251,$B$11,'Raw Data'!$J$2:$J$251,$B$12,'Raw Data'!$L$2:$L$251,$B$13,'Raw Data'!$B$2:$B$251,"&gt;="&amp;$B$14,'Raw Data'!$B$2:$B$251,"&lt;="&amp;$B$15,'Raw Data'!$P$2:$P$251,B28)</f>
        <v>25</v>
      </c>
    </row>
    <row r="29" spans="1:4" x14ac:dyDescent="0.2">
      <c r="A29" s="110" t="str">
        <f>Analysis!B99</f>
        <v>Jan-25</v>
      </c>
      <c r="B29" s="111">
        <f>Analysis!A99</f>
        <v>45688</v>
      </c>
      <c r="C29" s="70">
        <f>SUMIFS('Raw Data'!$N$2:$N$251,'Raw Data'!$K$2:$K$251,$B$10,'Raw Data'!$G$2:$G$251,$B$11,'Raw Data'!$J$2:$J$251,$B$12,'Raw Data'!$L$2:$L$251,$B$13,'Raw Data'!$B$2:$B$251,"&gt;="&amp;$B$14,'Raw Data'!$B$2:$B$251,"&lt;="&amp;$B$15,'Raw Data'!$P$2:$P$251,B29)</f>
        <v>25799.15</v>
      </c>
      <c r="D29" s="110">
        <f>COUNTIFS('Raw Data'!$K$2:$K$251,$B$10,'Raw Data'!$G$2:$G$251,$B$11,'Raw Data'!$J$2:$J$251,$B$12,'Raw Data'!$L$2:$L$251,$B$13,'Raw Data'!$B$2:$B$251,"&gt;="&amp;$B$14,'Raw Data'!$B$2:$B$251,"&lt;="&amp;$B$15,'Raw Data'!$P$2:$P$251,B29)</f>
        <v>26</v>
      </c>
    </row>
    <row r="30" spans="1:4" x14ac:dyDescent="0.2">
      <c r="A30" s="110" t="str">
        <f>Analysis!B100</f>
        <v>Feb-25</v>
      </c>
      <c r="B30" s="111">
        <f>Analysis!A100</f>
        <v>45716</v>
      </c>
      <c r="C30" s="70">
        <f>SUMIFS('Raw Data'!$N$2:$N$251,'Raw Data'!$K$2:$K$251,$B$10,'Raw Data'!$G$2:$G$251,$B$11,'Raw Data'!$J$2:$J$251,$B$12,'Raw Data'!$L$2:$L$251,$B$13,'Raw Data'!$B$2:$B$251,"&gt;="&amp;$B$14,'Raw Data'!$B$2:$B$251,"&lt;="&amp;$B$15,'Raw Data'!$P$2:$P$251,B30)</f>
        <v>16069.379999999997</v>
      </c>
      <c r="D30" s="110">
        <f>COUNTIFS('Raw Data'!$K$2:$K$251,$B$10,'Raw Data'!$G$2:$G$251,$B$11,'Raw Data'!$J$2:$J$251,$B$12,'Raw Data'!$L$2:$L$251,$B$13,'Raw Data'!$B$2:$B$251,"&gt;="&amp;$B$14,'Raw Data'!$B$2:$B$251,"&lt;="&amp;$B$15,'Raw Data'!$P$2:$P$251,B30)</f>
        <v>20</v>
      </c>
    </row>
    <row r="31" spans="1:4" x14ac:dyDescent="0.2">
      <c r="A31" s="110" t="str">
        <f>Analysis!B101</f>
        <v>Mar-25</v>
      </c>
      <c r="B31" s="111">
        <f>Analysis!A101</f>
        <v>45747</v>
      </c>
      <c r="C31" s="70">
        <f>SUMIFS('Raw Data'!$N$2:$N$251,'Raw Data'!$K$2:$K$251,$B$10,'Raw Data'!$G$2:$G$251,$B$11,'Raw Data'!$J$2:$J$251,$B$12,'Raw Data'!$L$2:$L$251,$B$13,'Raw Data'!$B$2:$B$251,"&gt;="&amp;$B$14,'Raw Data'!$B$2:$B$251,"&lt;="&amp;$B$15,'Raw Data'!$P$2:$P$251,B31)</f>
        <v>19899.379999999997</v>
      </c>
      <c r="D31" s="110">
        <f>COUNTIFS('Raw Data'!$K$2:$K$251,$B$10,'Raw Data'!$G$2:$G$251,$B$11,'Raw Data'!$J$2:$J$251,$B$12,'Raw Data'!$L$2:$L$251,$B$13,'Raw Data'!$B$2:$B$251,"&gt;="&amp;$B$14,'Raw Data'!$B$2:$B$251,"&lt;="&amp;$B$15,'Raw Data'!$P$2:$P$251,B31)</f>
        <v>19</v>
      </c>
    </row>
    <row r="32" spans="1:4" x14ac:dyDescent="0.2">
      <c r="A32" s="110" t="str">
        <f>Analysis!B102</f>
        <v>Apr-25</v>
      </c>
      <c r="B32" s="111">
        <f>Analysis!A102</f>
        <v>45777</v>
      </c>
      <c r="C32" s="70">
        <f>SUMIFS('Raw Data'!$N$2:$N$251,'Raw Data'!$K$2:$K$251,$B$10,'Raw Data'!$G$2:$G$251,$B$11,'Raw Data'!$J$2:$J$251,$B$12,'Raw Data'!$L$2:$L$251,$B$13,'Raw Data'!$B$2:$B$251,"&gt;="&amp;$B$14,'Raw Data'!$B$2:$B$251,"&lt;="&amp;$B$15,'Raw Data'!$P$2:$P$251,B32)</f>
        <v>6979.829999999999</v>
      </c>
      <c r="D32" s="110">
        <f>COUNTIFS('Raw Data'!$K$2:$K$251,$B$10,'Raw Data'!$G$2:$G$251,$B$11,'Raw Data'!$J$2:$J$251,$B$12,'Raw Data'!$L$2:$L$251,$B$13,'Raw Data'!$B$2:$B$251,"&gt;="&amp;$B$14,'Raw Data'!$B$2:$B$251,"&lt;="&amp;$B$15,'Raw Data'!$P$2:$P$251,B32)</f>
        <v>7</v>
      </c>
    </row>
    <row r="35" spans="1:3" x14ac:dyDescent="0.2">
      <c r="A35" s="17" t="s">
        <v>55</v>
      </c>
      <c r="B35" s="17" t="s">
        <v>525</v>
      </c>
      <c r="C35" s="17" t="s">
        <v>39</v>
      </c>
    </row>
    <row r="36" spans="1:3" x14ac:dyDescent="0.2">
      <c r="A36" s="110" t="s">
        <v>61</v>
      </c>
      <c r="B36" s="70">
        <f>SUMIFS('Raw Data'!$N$2:$N$251,'Raw Data'!$K$2:$K$251,$B$10,'Raw Data'!$G$2:$G$251,$B$11,'Raw Data'!$J$2:$J$251,$B$12,'Raw Data'!$L$2:$L$251,$B$13,'Raw Data'!$B$2:$B$251,"&gt;="&amp;$B$14,'Raw Data'!$B$2:$B$251,"&lt;="&amp;$B$15,'Raw Data'!$K$2:$K$251,A36)</f>
        <v>41288.340000000018</v>
      </c>
      <c r="C36" s="110">
        <f>COUNTIFS('Raw Data'!$K$2:$K$251,$B$10,'Raw Data'!$G$2:$G$251,$B$11,'Raw Data'!$J$2:$J$251,$B$12,'Raw Data'!$L$2:$L$251,$B$13,'Raw Data'!$B$2:$B$251,"&gt;="&amp;$B$14,'Raw Data'!$B$2:$B$251,"&lt;="&amp;$B$15,'Raw Data'!$K$2:$K$251,A36)</f>
        <v>54</v>
      </c>
    </row>
    <row r="37" spans="1:3" x14ac:dyDescent="0.2">
      <c r="A37" s="110" t="s">
        <v>66</v>
      </c>
      <c r="B37" s="70">
        <f>SUMIFS('Raw Data'!$N$2:$N$251,'Raw Data'!$K$2:$K$251,$B$10,'Raw Data'!$G$2:$G$251,$B$11,'Raw Data'!$J$2:$J$251,$B$12,'Raw Data'!$L$2:$L$251,$B$13,'Raw Data'!$B$2:$B$251,"&gt;="&amp;$B$14,'Raw Data'!$B$2:$B$251,"&lt;="&amp;$B$15,'Raw Data'!$K$2:$K$251,A37)</f>
        <v>59288.389999999992</v>
      </c>
      <c r="C37" s="110">
        <f>COUNTIFS('Raw Data'!$K$2:$K$251,$B$10,'Raw Data'!$G$2:$G$251,$B$11,'Raw Data'!$J$2:$J$251,$B$12,'Raw Data'!$L$2:$L$251,$B$13,'Raw Data'!$B$2:$B$251,"&gt;="&amp;$B$14,'Raw Data'!$B$2:$B$251,"&lt;="&amp;$B$15,'Raw Data'!$K$2:$K$251,A37)</f>
        <v>48</v>
      </c>
    </row>
    <row r="38" spans="1:3" x14ac:dyDescent="0.2">
      <c r="A38" s="110" t="s">
        <v>71</v>
      </c>
      <c r="B38" s="70">
        <f>SUMIFS('Raw Data'!$N$2:$N$251,'Raw Data'!$K$2:$K$251,$B$10,'Raw Data'!$G$2:$G$251,$B$11,'Raw Data'!$J$2:$J$251,$B$12,'Raw Data'!$L$2:$L$251,$B$13,'Raw Data'!$B$2:$B$251,"&gt;="&amp;$B$14,'Raw Data'!$B$2:$B$251,"&lt;="&amp;$B$15,'Raw Data'!$K$2:$K$251,A38)</f>
        <v>50808.310000000012</v>
      </c>
      <c r="C38" s="110">
        <f>COUNTIFS('Raw Data'!$K$2:$K$251,$B$10,'Raw Data'!$G$2:$G$251,$B$11,'Raw Data'!$J$2:$J$251,$B$12,'Raw Data'!$L$2:$L$251,$B$13,'Raw Data'!$B$2:$B$251,"&gt;="&amp;$B$14,'Raw Data'!$B$2:$B$251,"&lt;="&amp;$B$15,'Raw Data'!$K$2:$K$251,A38)</f>
        <v>59</v>
      </c>
    </row>
    <row r="39" spans="1:3" x14ac:dyDescent="0.2">
      <c r="A39" s="110" t="s">
        <v>76</v>
      </c>
      <c r="B39" s="70">
        <f>SUMIFS('Raw Data'!$N$2:$N$251,'Raw Data'!$K$2:$K$251,$B$10,'Raw Data'!$G$2:$G$251,$B$11,'Raw Data'!$J$2:$J$251,$B$12,'Raw Data'!$L$2:$L$251,$B$13,'Raw Data'!$B$2:$B$251,"&gt;="&amp;$B$14,'Raw Data'!$B$2:$B$251,"&lt;="&amp;$B$15,'Raw Data'!$K$2:$K$251,A39)</f>
        <v>36398.750000000007</v>
      </c>
      <c r="C39" s="110">
        <f>COUNTIFS('Raw Data'!$K$2:$K$251,$B$10,'Raw Data'!$G$2:$G$251,$B$11,'Raw Data'!$J$2:$J$251,$B$12,'Raw Data'!$L$2:$L$251,$B$13,'Raw Data'!$B$2:$B$251,"&gt;="&amp;$B$14,'Raw Data'!$B$2:$B$251,"&lt;="&amp;$B$15,'Raw Data'!$K$2:$K$251,A39)</f>
        <v>42</v>
      </c>
    </row>
    <row r="40" spans="1:3" x14ac:dyDescent="0.2">
      <c r="A40" s="110" t="s">
        <v>81</v>
      </c>
      <c r="B40" s="70">
        <f>SUMIFS('Raw Data'!$N$2:$N$251,'Raw Data'!$K$2:$K$251,$B$10,'Raw Data'!$G$2:$G$251,$B$11,'Raw Data'!$J$2:$J$251,$B$12,'Raw Data'!$L$2:$L$251,$B$13,'Raw Data'!$B$2:$B$251,"&gt;="&amp;$B$14,'Raw Data'!$B$2:$B$251,"&lt;="&amp;$B$15,'Raw Data'!$K$2:$K$251,A40)</f>
        <v>41408.680000000015</v>
      </c>
      <c r="C40" s="110">
        <f>COUNTIFS('Raw Data'!$K$2:$K$251,$B$10,'Raw Data'!$G$2:$G$251,$B$11,'Raw Data'!$J$2:$J$251,$B$12,'Raw Data'!$L$2:$L$251,$B$13,'Raw Data'!$B$2:$B$251,"&gt;="&amp;$B$14,'Raw Data'!$B$2:$B$251,"&lt;="&amp;$B$15,'Raw Data'!$K$2:$K$251,A40)</f>
        <v>47</v>
      </c>
    </row>
    <row r="43" spans="1:3" x14ac:dyDescent="0.2">
      <c r="A43" s="17" t="s">
        <v>53</v>
      </c>
      <c r="B43" s="17" t="s">
        <v>525</v>
      </c>
      <c r="C43" s="17" t="s">
        <v>39</v>
      </c>
    </row>
    <row r="44" spans="1:3" x14ac:dyDescent="0.2">
      <c r="A44" s="110" t="s">
        <v>62</v>
      </c>
      <c r="B44" s="70">
        <f>SUMIFS('Raw Data'!$N$2:$N$251,'Raw Data'!$K$2:$K$251,$B$10,'Raw Data'!$G$2:$G$251,$B$11,'Raw Data'!$J$2:$J$251,$B$12,'Raw Data'!$L$2:$L$251,$B$13,'Raw Data'!$B$2:$B$251,"&gt;="&amp;$B$14,'Raw Data'!$B$2:$B$251,"&lt;="&amp;$B$15,'Raw Data'!$G$2:$G$251,A44)</f>
        <v>8338.7399999999961</v>
      </c>
      <c r="C44" s="110">
        <f>COUNTIFS('Raw Data'!$K$2:$K$251,$B$10,'Raw Data'!$G$2:$G$251,$B$11,'Raw Data'!$J$2:$J$251,$B$12,'Raw Data'!$L$2:$L$251,$B$13,'Raw Data'!$B$2:$B$251,"&gt;="&amp;$B$14,'Raw Data'!$B$2:$B$251,"&lt;="&amp;$B$15,'Raw Data'!$G$2:$G$251,A44)</f>
        <v>43</v>
      </c>
    </row>
    <row r="45" spans="1:3" x14ac:dyDescent="0.2">
      <c r="A45" s="110" t="s">
        <v>67</v>
      </c>
      <c r="B45" s="70">
        <f>SUMIFS('Raw Data'!$N$2:$N$251,'Raw Data'!$K$2:$K$251,$B$10,'Raw Data'!$G$2:$G$251,$B$11,'Raw Data'!$J$2:$J$251,$B$12,'Raw Data'!$L$2:$L$251,$B$13,'Raw Data'!$B$2:$B$251,"&gt;="&amp;$B$14,'Raw Data'!$B$2:$B$251,"&lt;="&amp;$B$15,'Raw Data'!$G$2:$G$251,A45)</f>
        <v>171756.05000000013</v>
      </c>
      <c r="C45" s="110">
        <f>COUNTIFS('Raw Data'!$K$2:$K$251,$B$10,'Raw Data'!$G$2:$G$251,$B$11,'Raw Data'!$J$2:$J$251,$B$12,'Raw Data'!$L$2:$L$251,$B$13,'Raw Data'!$B$2:$B$251,"&gt;="&amp;$B$14,'Raw Data'!$B$2:$B$251,"&lt;="&amp;$B$15,'Raw Data'!$G$2:$G$251,A45)</f>
        <v>131</v>
      </c>
    </row>
    <row r="46" spans="1:3" x14ac:dyDescent="0.2">
      <c r="A46" s="110" t="s">
        <v>72</v>
      </c>
      <c r="B46" s="70">
        <f>SUMIFS('Raw Data'!$N$2:$N$251,'Raw Data'!$K$2:$K$251,$B$10,'Raw Data'!$G$2:$G$251,$B$11,'Raw Data'!$J$2:$J$251,$B$12,'Raw Data'!$L$2:$L$251,$B$13,'Raw Data'!$B$2:$B$251,"&gt;="&amp;$B$14,'Raw Data'!$B$2:$B$251,"&lt;="&amp;$B$15,'Raw Data'!$G$2:$G$251,A46)</f>
        <v>49097.680000000015</v>
      </c>
      <c r="C46" s="110">
        <f>COUNTIFS('Raw Data'!$K$2:$K$251,$B$10,'Raw Data'!$G$2:$G$251,$B$11,'Raw Data'!$J$2:$J$251,$B$12,'Raw Data'!$L$2:$L$251,$B$13,'Raw Data'!$B$2:$B$251,"&gt;="&amp;$B$14,'Raw Data'!$B$2:$B$251,"&lt;="&amp;$B$15,'Raw Data'!$G$2:$G$251,A46)</f>
        <v>76</v>
      </c>
    </row>
    <row r="49" spans="1:7" x14ac:dyDescent="0.2">
      <c r="A49" s="17" t="s">
        <v>650</v>
      </c>
      <c r="B49" s="17" t="s">
        <v>525</v>
      </c>
      <c r="C49" s="17" t="s">
        <v>39</v>
      </c>
    </row>
    <row r="50" spans="1:7" x14ac:dyDescent="0.2">
      <c r="A50" s="110" t="s">
        <v>63</v>
      </c>
      <c r="B50" s="70">
        <f>SUMIFS('Raw Data'!$N$2:$N$251,'Raw Data'!$K$2:$K$251,$B$10,'Raw Data'!$G$2:$G$251,$B$11,'Raw Data'!$J$2:$J$251,$B$12,'Raw Data'!$L$2:$L$251,$B$13,'Raw Data'!$B$2:$B$251,"&gt;="&amp;$B$14,'Raw Data'!$B$2:$B$251,"&lt;="&amp;$B$15,'Raw Data'!$J$2:$J$251,A50)</f>
        <v>57427.790000000023</v>
      </c>
      <c r="C50" s="110">
        <f>COUNTIFS('Raw Data'!$K$2:$K$251,$B$10,'Raw Data'!$G$2:$G$251,$B$11,'Raw Data'!$J$2:$J$251,$B$12,'Raw Data'!$L$2:$L$251,$B$13,'Raw Data'!$B$2:$B$251,"&gt;="&amp;$B$14,'Raw Data'!$B$2:$B$251,"&lt;="&amp;$B$15,'Raw Data'!$J$2:$J$251,A50)</f>
        <v>76</v>
      </c>
    </row>
    <row r="51" spans="1:7" x14ac:dyDescent="0.2">
      <c r="A51" s="110" t="s">
        <v>68</v>
      </c>
      <c r="B51" s="70">
        <f>SUMIFS('Raw Data'!$N$2:$N$251,'Raw Data'!$K$2:$K$251,$B$10,'Raw Data'!$G$2:$G$251,$B$11,'Raw Data'!$J$2:$J$251,$B$12,'Raw Data'!$L$2:$L$251,$B$13,'Raw Data'!$B$2:$B$251,"&gt;="&amp;$B$14,'Raw Data'!$B$2:$B$251,"&lt;="&amp;$B$15,'Raw Data'!$J$2:$J$251,A51)</f>
        <v>61447.960000000014</v>
      </c>
      <c r="C51" s="110">
        <f>COUNTIFS('Raw Data'!$K$2:$K$251,$B$10,'Raw Data'!$G$2:$G$251,$B$11,'Raw Data'!$J$2:$J$251,$B$12,'Raw Data'!$L$2:$L$251,$B$13,'Raw Data'!$B$2:$B$251,"&gt;="&amp;$B$14,'Raw Data'!$B$2:$B$251,"&lt;="&amp;$B$15,'Raw Data'!$J$2:$J$251,A51)</f>
        <v>68</v>
      </c>
    </row>
    <row r="52" spans="1:7" x14ac:dyDescent="0.2">
      <c r="A52" s="110" t="s">
        <v>73</v>
      </c>
      <c r="B52" s="70">
        <f>SUMIFS('Raw Data'!$N$2:$N$251,'Raw Data'!$K$2:$K$251,$B$10,'Raw Data'!$G$2:$G$251,$B$11,'Raw Data'!$J$2:$J$251,$B$12,'Raw Data'!$L$2:$L$251,$B$13,'Raw Data'!$B$2:$B$251,"&gt;="&amp;$B$14,'Raw Data'!$B$2:$B$251,"&lt;="&amp;$B$15,'Raw Data'!$J$2:$J$251,A52)</f>
        <v>52118.310000000005</v>
      </c>
      <c r="C52" s="110">
        <f>COUNTIFS('Raw Data'!$K$2:$K$251,$B$10,'Raw Data'!$G$2:$G$251,$B$11,'Raw Data'!$J$2:$J$251,$B$12,'Raw Data'!$L$2:$L$251,$B$13,'Raw Data'!$B$2:$B$251,"&gt;="&amp;$B$14,'Raw Data'!$B$2:$B$251,"&lt;="&amp;$B$15,'Raw Data'!$J$2:$J$251,A52)</f>
        <v>54</v>
      </c>
    </row>
    <row r="53" spans="1:7" x14ac:dyDescent="0.2">
      <c r="A53" s="110" t="s">
        <v>78</v>
      </c>
      <c r="B53" s="70">
        <f>SUMIFS('Raw Data'!$N$2:$N$251,'Raw Data'!$K$2:$K$251,$B$10,'Raw Data'!$G$2:$G$251,$B$11,'Raw Data'!$J$2:$J$251,$B$12,'Raw Data'!$L$2:$L$251,$B$13,'Raw Data'!$B$2:$B$251,"&gt;="&amp;$B$14,'Raw Data'!$B$2:$B$251,"&lt;="&amp;$B$15,'Raw Data'!$J$2:$J$251,A53)</f>
        <v>58198.409999999996</v>
      </c>
      <c r="C53" s="110">
        <f>COUNTIFS('Raw Data'!$K$2:$K$251,$B$10,'Raw Data'!$G$2:$G$251,$B$11,'Raw Data'!$J$2:$J$251,$B$12,'Raw Data'!$L$2:$L$251,$B$13,'Raw Data'!$B$2:$B$251,"&gt;="&amp;$B$14,'Raw Data'!$B$2:$B$251,"&lt;="&amp;$B$15,'Raw Data'!$J$2:$J$251,A53)</f>
        <v>52</v>
      </c>
    </row>
    <row r="56" spans="1:7" x14ac:dyDescent="0.2">
      <c r="A56" s="17" t="s">
        <v>598</v>
      </c>
      <c r="B56" s="17" t="s">
        <v>525</v>
      </c>
      <c r="C56" s="17" t="s">
        <v>34</v>
      </c>
      <c r="D56" s="17"/>
      <c r="E56" s="17" t="s">
        <v>655</v>
      </c>
      <c r="F56" s="17" t="s">
        <v>656</v>
      </c>
      <c r="G56" s="17" t="s">
        <v>657</v>
      </c>
    </row>
    <row r="57" spans="1:7" x14ac:dyDescent="0.2">
      <c r="A57" s="110" t="str">
        <f>Analysis!B35</f>
        <v>Laptop</v>
      </c>
      <c r="B57" s="70">
        <f>SUMIFS('Raw Data'!$N$2:$N$251,'Raw Data'!$K$2:$K$251,$B$10,'Raw Data'!$G$2:$G$251,$B$11,'Raw Data'!$J$2:$J$251,$B$12,'Raw Data'!$L$2:$L$251,$B$13,'Raw Data'!$B$2:$B$251,"&gt;="&amp;$B$14,'Raw Data'!$B$2:$B$251,"&lt;="&amp;$B$15,'Raw Data'!$F$2:$F$251,A57)</f>
        <v>67499.25</v>
      </c>
      <c r="C57" s="110">
        <f>RANK(B57,$B$57:$B$66,0)+COUNTIF($B$57:B57,B57)-1</f>
        <v>1</v>
      </c>
      <c r="E57" s="110">
        <v>1</v>
      </c>
      <c r="F57" s="110" t="str">
        <f t="shared" ref="F57:F66" si="0">INDEX($A$57:$A$66,MATCH(E57,$C$57:$C$66,0))</f>
        <v>Laptop</v>
      </c>
      <c r="G57" s="70">
        <f t="shared" ref="G57:G66" si="1">INDEX($B$57:$B$66,MATCH(E57,$C$57:$C$66,0))</f>
        <v>67499.25</v>
      </c>
    </row>
    <row r="58" spans="1:7" x14ac:dyDescent="0.2">
      <c r="A58" s="110" t="str">
        <f>Analysis!B36</f>
        <v>Smartphone</v>
      </c>
      <c r="B58" s="70">
        <f>SUMIFS('Raw Data'!$N$2:$N$251,'Raw Data'!$K$2:$K$251,$B$10,'Raw Data'!$G$2:$G$251,$B$11,'Raw Data'!$J$2:$J$251,$B$12,'Raw Data'!$L$2:$L$251,$B$13,'Raw Data'!$B$2:$B$251,"&gt;="&amp;$B$14,'Raw Data'!$B$2:$B$251,"&lt;="&amp;$B$15,'Raw Data'!$F$2:$F$251,A58)</f>
        <v>67199.039999999994</v>
      </c>
      <c r="C58" s="110">
        <f>RANK(B58,$B$57:$B$66,0)+COUNTIF($B$57:B58,B58)-1</f>
        <v>2</v>
      </c>
      <c r="E58" s="110">
        <v>2</v>
      </c>
      <c r="F58" s="110" t="str">
        <f t="shared" si="0"/>
        <v>Smartphone</v>
      </c>
      <c r="G58" s="70">
        <f t="shared" si="1"/>
        <v>67199.039999999994</v>
      </c>
    </row>
    <row r="59" spans="1:7" x14ac:dyDescent="0.2">
      <c r="A59" s="110" t="str">
        <f>Analysis!B37</f>
        <v>Headphones</v>
      </c>
      <c r="B59" s="70">
        <f>SUMIFS('Raw Data'!$N$2:$N$251,'Raw Data'!$K$2:$K$251,$B$10,'Raw Data'!$G$2:$G$251,$B$11,'Raw Data'!$J$2:$J$251,$B$12,'Raw Data'!$L$2:$L$251,$B$13,'Raw Data'!$B$2:$B$251,"&gt;="&amp;$B$14,'Raw Data'!$B$2:$B$251,"&lt;="&amp;$B$15,'Raw Data'!$F$2:$F$251,A59)</f>
        <v>7049.5299999999988</v>
      </c>
      <c r="C59" s="110">
        <f>RANK(B59,$B$57:$B$66,0)+COUNTIF($B$57:B59,B59)-1</f>
        <v>8</v>
      </c>
      <c r="E59" s="110">
        <v>3</v>
      </c>
      <c r="F59" s="110" t="str">
        <f t="shared" si="0"/>
        <v>Desk</v>
      </c>
      <c r="G59" s="70">
        <f t="shared" si="1"/>
        <v>23399.22</v>
      </c>
    </row>
    <row r="60" spans="1:7" x14ac:dyDescent="0.2">
      <c r="A60" s="110" t="str">
        <f>Analysis!B38</f>
        <v>Coffee Maker</v>
      </c>
      <c r="B60" s="70">
        <f>SUMIFS('Raw Data'!$N$2:$N$251,'Raw Data'!$K$2:$K$251,$B$10,'Raw Data'!$G$2:$G$251,$B$11,'Raw Data'!$J$2:$J$251,$B$12,'Raw Data'!$L$2:$L$251,$B$13,'Raw Data'!$B$2:$B$251,"&gt;="&amp;$B$14,'Raw Data'!$B$2:$B$251,"&lt;="&amp;$B$15,'Raw Data'!$F$2:$F$251,A60)</f>
        <v>3119.6099999999992</v>
      </c>
      <c r="C60" s="110">
        <f>RANK(B60,$B$57:$B$66,0)+COUNTIF($B$57:B60,B60)-1</f>
        <v>10</v>
      </c>
      <c r="E60" s="110">
        <v>4</v>
      </c>
      <c r="F60" s="110" t="str">
        <f t="shared" si="0"/>
        <v>Monitor</v>
      </c>
      <c r="G60" s="70">
        <f t="shared" si="1"/>
        <v>21999.119999999999</v>
      </c>
    </row>
    <row r="61" spans="1:7" x14ac:dyDescent="0.2">
      <c r="A61" s="110" t="str">
        <f>Analysis!B39</f>
        <v>Blender</v>
      </c>
      <c r="B61" s="70">
        <f>SUMIFS('Raw Data'!$N$2:$N$251,'Raw Data'!$K$2:$K$251,$B$10,'Raw Data'!$G$2:$G$251,$B$11,'Raw Data'!$J$2:$J$251,$B$12,'Raw Data'!$L$2:$L$251,$B$13,'Raw Data'!$B$2:$B$251,"&gt;="&amp;$B$14,'Raw Data'!$B$2:$B$251,"&lt;="&amp;$B$15,'Raw Data'!$F$2:$F$251,A61)</f>
        <v>5219.1299999999974</v>
      </c>
      <c r="C61" s="110">
        <f>RANK(B61,$B$57:$B$66,0)+COUNTIF($B$57:B61,B61)-1</f>
        <v>9</v>
      </c>
      <c r="E61" s="110">
        <v>5</v>
      </c>
      <c r="F61" s="110" t="str">
        <f t="shared" si="0"/>
        <v>Bookshelf</v>
      </c>
      <c r="G61" s="70">
        <f t="shared" si="1"/>
        <v>15298.979999999994</v>
      </c>
    </row>
    <row r="62" spans="1:7" x14ac:dyDescent="0.2">
      <c r="A62" s="110" t="str">
        <f>Analysis!B40</f>
        <v>Office Chair</v>
      </c>
      <c r="B62" s="70">
        <f>SUMIFS('Raw Data'!$N$2:$N$251,'Raw Data'!$K$2:$K$251,$B$10,'Raw Data'!$G$2:$G$251,$B$11,'Raw Data'!$J$2:$J$251,$B$12,'Raw Data'!$L$2:$L$251,$B$13,'Raw Data'!$B$2:$B$251,"&gt;="&amp;$B$14,'Raw Data'!$B$2:$B$251,"&lt;="&amp;$B$15,'Raw Data'!$F$2:$F$251,A62)</f>
        <v>10399.479999999998</v>
      </c>
      <c r="C62" s="110">
        <f>RANK(B62,$B$57:$B$66,0)+COUNTIF($B$57:B62,B62)-1</f>
        <v>6</v>
      </c>
      <c r="E62" s="110">
        <v>6</v>
      </c>
      <c r="F62" s="110" t="str">
        <f t="shared" si="0"/>
        <v>Office Chair</v>
      </c>
      <c r="G62" s="70">
        <f t="shared" si="1"/>
        <v>10399.479999999998</v>
      </c>
    </row>
    <row r="63" spans="1:7" x14ac:dyDescent="0.2">
      <c r="A63" s="110" t="str">
        <f>Analysis!B41</f>
        <v>Desk</v>
      </c>
      <c r="B63" s="70">
        <f>SUMIFS('Raw Data'!$N$2:$N$251,'Raw Data'!$K$2:$K$251,$B$10,'Raw Data'!$G$2:$G$251,$B$11,'Raw Data'!$J$2:$J$251,$B$12,'Raw Data'!$L$2:$L$251,$B$13,'Raw Data'!$B$2:$B$251,"&gt;="&amp;$B$14,'Raw Data'!$B$2:$B$251,"&lt;="&amp;$B$15,'Raw Data'!$F$2:$F$251,A63)</f>
        <v>23399.22</v>
      </c>
      <c r="C63" s="110">
        <f>RANK(B63,$B$57:$B$66,0)+COUNTIF($B$57:B63,B63)-1</f>
        <v>3</v>
      </c>
      <c r="E63" s="110">
        <v>7</v>
      </c>
      <c r="F63" s="110" t="str">
        <f t="shared" si="0"/>
        <v>Keyboard</v>
      </c>
      <c r="G63" s="70">
        <f t="shared" si="1"/>
        <v>8009.1099999999969</v>
      </c>
    </row>
    <row r="64" spans="1:7" x14ac:dyDescent="0.2">
      <c r="A64" s="110" t="str">
        <f>Analysis!B42</f>
        <v>Bookshelf</v>
      </c>
      <c r="B64" s="70">
        <f>SUMIFS('Raw Data'!$N$2:$N$251,'Raw Data'!$K$2:$K$251,$B$10,'Raw Data'!$G$2:$G$251,$B$11,'Raw Data'!$J$2:$J$251,$B$12,'Raw Data'!$L$2:$L$251,$B$13,'Raw Data'!$B$2:$B$251,"&gt;="&amp;$B$14,'Raw Data'!$B$2:$B$251,"&lt;="&amp;$B$15,'Raw Data'!$F$2:$F$251,A64)</f>
        <v>15298.979999999994</v>
      </c>
      <c r="C64" s="110">
        <f>RANK(B64,$B$57:$B$66,0)+COUNTIF($B$57:B64,B64)-1</f>
        <v>5</v>
      </c>
      <c r="E64" s="110">
        <v>8</v>
      </c>
      <c r="F64" s="110" t="str">
        <f t="shared" si="0"/>
        <v>Headphones</v>
      </c>
      <c r="G64" s="70">
        <f t="shared" si="1"/>
        <v>7049.5299999999988</v>
      </c>
    </row>
    <row r="65" spans="1:7" x14ac:dyDescent="0.2">
      <c r="A65" s="110" t="str">
        <f>Analysis!B43</f>
        <v>Monitor</v>
      </c>
      <c r="B65" s="70">
        <f>SUMIFS('Raw Data'!$N$2:$N$251,'Raw Data'!$K$2:$K$251,$B$10,'Raw Data'!$G$2:$G$251,$B$11,'Raw Data'!$J$2:$J$251,$B$12,'Raw Data'!$L$2:$L$251,$B$13,'Raw Data'!$B$2:$B$251,"&gt;="&amp;$B$14,'Raw Data'!$B$2:$B$251,"&lt;="&amp;$B$15,'Raw Data'!$F$2:$F$251,A65)</f>
        <v>21999.119999999999</v>
      </c>
      <c r="C65" s="110">
        <f>RANK(B65,$B$57:$B$66,0)+COUNTIF($B$57:B65,B65)-1</f>
        <v>4</v>
      </c>
      <c r="E65" s="110">
        <v>9</v>
      </c>
      <c r="F65" s="110" t="str">
        <f t="shared" si="0"/>
        <v>Blender</v>
      </c>
      <c r="G65" s="70">
        <f t="shared" si="1"/>
        <v>5219.1299999999974</v>
      </c>
    </row>
    <row r="66" spans="1:7" x14ac:dyDescent="0.2">
      <c r="A66" s="110" t="str">
        <f>Analysis!B44</f>
        <v>Keyboard</v>
      </c>
      <c r="B66" s="70">
        <f>SUMIFS('Raw Data'!$N$2:$N$251,'Raw Data'!$K$2:$K$251,$B$10,'Raw Data'!$G$2:$G$251,$B$11,'Raw Data'!$J$2:$J$251,$B$12,'Raw Data'!$L$2:$L$251,$B$13,'Raw Data'!$B$2:$B$251,"&gt;="&amp;$B$14,'Raw Data'!$B$2:$B$251,"&lt;="&amp;$B$15,'Raw Data'!$F$2:$F$251,A66)</f>
        <v>8009.1099999999969</v>
      </c>
      <c r="C66" s="110">
        <f>RANK(B66,$B$57:$B$66,0)+COUNTIF($B$57:B66,B66)-1</f>
        <v>7</v>
      </c>
      <c r="E66" s="110">
        <v>10</v>
      </c>
      <c r="F66" s="110" t="str">
        <f t="shared" si="0"/>
        <v>Coffee Maker</v>
      </c>
      <c r="G66" s="70">
        <f t="shared" si="1"/>
        <v>3119.6099999999992</v>
      </c>
    </row>
    <row r="69" spans="1:7" x14ac:dyDescent="0.2">
      <c r="A69" s="19" t="s">
        <v>658</v>
      </c>
    </row>
    <row r="70" spans="1:7" x14ac:dyDescent="0.2">
      <c r="A70" s="110" t="s">
        <v>525</v>
      </c>
      <c r="B70" s="70">
        <f>SUMIFS('Raw Data'!$N$2:$N$251,'Raw Data'!$K$2:$K$251,$B$10,'Raw Data'!$G$2:$G$251,$B$11,'Raw Data'!$J$2:$J$251,$B$12,'Raw Data'!$L$2:$L$251,$B$13,'Raw Data'!$B$2:$B$251,"&gt;="&amp;$B$14,'Raw Data'!$B$2:$B$251,"&lt;="&amp;$B$15)</f>
        <v>229192.47000000032</v>
      </c>
    </row>
    <row r="71" spans="1:7" x14ac:dyDescent="0.2">
      <c r="A71" s="110" t="s">
        <v>39</v>
      </c>
      <c r="B71" s="110">
        <f>COUNTIFS('Raw Data'!$K$2:$K$251,$B$10,'Raw Data'!$G$2:$G$251,$B$11,'Raw Data'!$J$2:$J$251,$B$12,'Raw Data'!$L$2:$L$251,$B$13,'Raw Data'!$B$2:$B$251,"&gt;="&amp;$B$14,'Raw Data'!$B$2:$B$251,"&lt;="&amp;$B$15)</f>
        <v>250</v>
      </c>
    </row>
    <row r="72" spans="1:7" x14ac:dyDescent="0.2">
      <c r="A72" s="110" t="s">
        <v>524</v>
      </c>
      <c r="B72" s="110">
        <f>SUMIFS('Raw Data'!$H$2:$H$251,'Raw Data'!$K$2:$K$251,$B$10,'Raw Data'!$G$2:$G$251,$B$11,'Raw Data'!$J$2:$J$251,$B$12,'Raw Data'!$L$2:$L$251,$B$13,'Raw Data'!$B$2:$B$251,"&gt;="&amp;$B$14,'Raw Data'!$B$2:$B$251,"&lt;="&amp;$B$15)</f>
        <v>753</v>
      </c>
    </row>
    <row r="73" spans="1:7" x14ac:dyDescent="0.2">
      <c r="A73" s="110" t="s">
        <v>659</v>
      </c>
      <c r="B73" s="112">
        <f>IF(B71=0,0,B70/B71)</f>
        <v>916.76988000000131</v>
      </c>
    </row>
    <row r="74" spans="1:7" x14ac:dyDescent="0.2">
      <c r="A74" s="110" t="s">
        <v>660</v>
      </c>
      <c r="B74" s="113">
        <f>IF(Analysis!B24=0,0,B70/Analysis!B24)</f>
        <v>1</v>
      </c>
    </row>
    <row r="75" spans="1:7" x14ac:dyDescent="0.2">
      <c r="A75" s="110" t="s">
        <v>661</v>
      </c>
      <c r="B75" s="110" t="str">
        <f>IF(AND(Dashboard!B11="All",Dashboard!E11="All",Dashboard!H11="All",Dashboard!K11="All",Dashboard!N11&lt;=Analysis!B8,Dashboard!Q11&gt;=Analysis!B9),"Full dataset (no filters)","Filtered view")</f>
        <v>Full dataset (no filters)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Report</vt:lpstr>
      <vt:lpstr>Raw Data</vt:lpstr>
      <vt:lpstr>Analysis</vt:lpstr>
      <vt:lpstr>Customers</vt:lpstr>
      <vt:lpstr>Filter</vt:lpstr>
      <vt:lpstr>Pivots</vt:lpstr>
      <vt:lpstr>Regression Output</vt:lpstr>
      <vt:lpstr>Scenario Summary</vt:lpstr>
      <vt:lpstr>Visualizations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Krisha tandel</cp:lastModifiedBy>
  <cp:revision>1</cp:revision>
  <dcterms:created xsi:type="dcterms:W3CDTF">2026-10-23T09:48:29Z</dcterms:created>
  <dcterms:modified xsi:type="dcterms:W3CDTF">2026-10-23T10:03:35Z</dcterms:modified>
  <dc:language>en-US</dc:language>
</cp:coreProperties>
</file>